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git_model\hk-sfc-models\market\volatility\market_data\"/>
    </mc:Choice>
  </mc:AlternateContent>
  <xr:revisionPtr revIDLastSave="0" documentId="13_ncr:1_{CC2173FA-876D-4480-B455-B1889A41DC26}" xr6:coauthVersionLast="47" xr6:coauthVersionMax="47" xr10:uidLastSave="{00000000-0000-0000-0000-000000000000}"/>
  <bookViews>
    <workbookView xWindow="13380" yWindow="-21720" windowWidth="38640" windowHeight="21240" xr2:uid="{9882A4B6-0037-4B6D-822E-1D060B81AA80}"/>
  </bookViews>
  <sheets>
    <sheet name="vol_data" sheetId="6" r:id="rId1"/>
    <sheet name="Sheet2" sheetId="3" r:id="rId2"/>
    <sheet name="Sheet3" sheetId="4" r:id="rId3"/>
    <sheet name="ticker" sheetId="1" r:id="rId4"/>
    <sheet name="formula" sheetId="2" r:id="rId5"/>
    <sheet name="Sheet1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2" l="1" a="1"/>
  <c r="D73" i="2" s="1"/>
  <c r="C73" i="2"/>
  <c r="D72" i="2" a="1"/>
  <c r="D72" i="2" s="1"/>
  <c r="C72" i="2"/>
  <c r="D71" i="2" a="1"/>
  <c r="D71" i="2" s="1"/>
  <c r="C71" i="2"/>
  <c r="D70" i="2" a="1"/>
  <c r="D70" i="2" s="1"/>
  <c r="C70" i="2"/>
  <c r="D69" i="2" a="1"/>
  <c r="D69" i="2" s="1"/>
  <c r="C69" i="2"/>
  <c r="D68" i="2" a="1"/>
  <c r="D68" i="2" s="1"/>
  <c r="C68" i="2"/>
  <c r="D67" i="2" a="1"/>
  <c r="D67" i="2" s="1"/>
  <c r="C67" i="2"/>
  <c r="D66" i="2" a="1"/>
  <c r="D66" i="2" s="1"/>
  <c r="C66" i="2"/>
  <c r="D65" i="2" a="1"/>
  <c r="D65" i="2" s="1"/>
  <c r="C65" i="2"/>
  <c r="D64" i="2" a="1"/>
  <c r="D64" i="2" s="1"/>
  <c r="C64" i="2"/>
  <c r="D63" i="2" a="1"/>
  <c r="D63" i="2" s="1"/>
  <c r="C63" i="2"/>
  <c r="D62" i="2" a="1"/>
  <c r="D62" i="2" s="1"/>
  <c r="C62" i="2"/>
  <c r="D61" i="2" a="1"/>
  <c r="D61" i="2" s="1"/>
  <c r="C61" i="2"/>
  <c r="D60" i="2" a="1"/>
  <c r="D60" i="2" s="1"/>
  <c r="C60" i="2"/>
  <c r="D59" i="2" a="1"/>
  <c r="D59" i="2" s="1"/>
  <c r="C59" i="2"/>
  <c r="D58" i="2" a="1"/>
  <c r="D58" i="2" s="1"/>
  <c r="C58" i="2"/>
  <c r="D57" i="2" a="1"/>
  <c r="D57" i="2" s="1"/>
  <c r="C57" i="2"/>
  <c r="D56" i="2" a="1"/>
  <c r="D56" i="2" s="1"/>
  <c r="C56" i="2"/>
  <c r="D55" i="2" a="1"/>
  <c r="D55" i="2" s="1"/>
  <c r="C55" i="2"/>
  <c r="D54" i="2" a="1"/>
  <c r="D54" i="2" s="1"/>
  <c r="C54" i="2"/>
  <c r="D53" i="2" a="1"/>
  <c r="D53" i="2" s="1"/>
  <c r="C53" i="2"/>
  <c r="D52" i="2" a="1"/>
  <c r="D52" i="2" s="1"/>
  <c r="C52" i="2"/>
  <c r="D51" i="2" a="1"/>
  <c r="D51" i="2" s="1"/>
  <c r="C51" i="2"/>
  <c r="D50" i="2" a="1"/>
  <c r="D50" i="2" s="1"/>
  <c r="C50" i="2"/>
  <c r="D49" i="2" a="1"/>
  <c r="D49" i="2" s="1"/>
  <c r="C49" i="2"/>
  <c r="D48" i="2" a="1"/>
  <c r="D48" i="2" s="1"/>
  <c r="C48" i="2"/>
  <c r="D47" i="2" a="1"/>
  <c r="D47" i="2" s="1"/>
  <c r="C47" i="2"/>
  <c r="D46" i="2" a="1"/>
  <c r="D46" i="2" s="1"/>
  <c r="C46" i="2"/>
  <c r="D45" i="2" a="1"/>
  <c r="D45" i="2" s="1"/>
  <c r="C45" i="2"/>
  <c r="D44" i="2" a="1"/>
  <c r="D44" i="2" s="1"/>
  <c r="C44" i="2"/>
  <c r="D43" i="2" a="1"/>
  <c r="D43" i="2" s="1"/>
  <c r="C43" i="2"/>
  <c r="D42" i="2" a="1"/>
  <c r="D42" i="2" s="1"/>
  <c r="C42" i="2"/>
  <c r="D41" i="2" a="1"/>
  <c r="D41" i="2" s="1"/>
  <c r="C41" i="2"/>
  <c r="D40" i="2" a="1"/>
  <c r="D40" i="2" s="1"/>
  <c r="C40" i="2"/>
  <c r="D39" i="2" a="1"/>
  <c r="D39" i="2" s="1"/>
  <c r="C39" i="2"/>
  <c r="D38" i="2" a="1"/>
  <c r="D38" i="2" s="1"/>
  <c r="C38" i="2"/>
  <c r="D37" i="2" a="1"/>
  <c r="D37" i="2" s="1"/>
  <c r="C37" i="2"/>
  <c r="D36" i="2" a="1"/>
  <c r="D36" i="2" s="1"/>
  <c r="C36" i="2"/>
  <c r="D35" i="2" a="1"/>
  <c r="D35" i="2" s="1"/>
  <c r="C35" i="2"/>
  <c r="D34" i="2" a="1"/>
  <c r="D34" i="2" s="1"/>
  <c r="C34" i="2"/>
  <c r="D33" i="2" a="1"/>
  <c r="D33" i="2" s="1"/>
  <c r="C33" i="2"/>
  <c r="D32" i="2" a="1"/>
  <c r="D32" i="2" s="1"/>
  <c r="C32" i="2"/>
  <c r="D31" i="2" a="1"/>
  <c r="D31" i="2" s="1"/>
  <c r="C31" i="2"/>
  <c r="D30" i="2" a="1"/>
  <c r="D30" i="2" s="1"/>
  <c r="C30" i="2"/>
  <c r="D29" i="2" a="1"/>
  <c r="D29" i="2" s="1"/>
  <c r="C29" i="2"/>
  <c r="D28" i="2" a="1"/>
  <c r="D28" i="2" s="1"/>
  <c r="C28" i="2"/>
  <c r="D27" i="2" a="1"/>
  <c r="D27" i="2" s="1"/>
  <c r="C27" i="2"/>
  <c r="D26" i="2" a="1"/>
  <c r="D26" i="2" s="1"/>
  <c r="C26" i="2"/>
  <c r="D25" i="2" a="1"/>
  <c r="D25" i="2" s="1"/>
  <c r="C25" i="2"/>
  <c r="D24" i="2" a="1"/>
  <c r="D24" i="2" s="1"/>
  <c r="C24" i="2"/>
  <c r="D23" i="2" a="1"/>
  <c r="D23" i="2" s="1"/>
  <c r="C23" i="2"/>
  <c r="D22" i="2" a="1"/>
  <c r="D22" i="2" s="1"/>
  <c r="C22" i="2"/>
  <c r="D21" i="2" a="1"/>
  <c r="D21" i="2" s="1"/>
  <c r="C21" i="2"/>
  <c r="D20" i="2" a="1"/>
  <c r="D20" i="2" s="1"/>
  <c r="C20" i="2"/>
  <c r="D19" i="2" a="1"/>
  <c r="D19" i="2" s="1"/>
  <c r="C19" i="2"/>
  <c r="D18" i="2" a="1"/>
  <c r="D18" i="2" s="1"/>
  <c r="C18" i="2"/>
  <c r="D17" i="2" a="1"/>
  <c r="D17" i="2" s="1"/>
  <c r="C17" i="2"/>
  <c r="D16" i="2" a="1"/>
  <c r="D16" i="2" s="1"/>
  <c r="C16" i="2"/>
  <c r="D15" i="2" a="1"/>
  <c r="D15" i="2" s="1"/>
  <c r="C15" i="2"/>
  <c r="D14" i="2" a="1"/>
  <c r="D14" i="2" s="1"/>
  <c r="C14" i="2"/>
  <c r="D13" i="2" a="1"/>
  <c r="D13" i="2" s="1"/>
  <c r="C13" i="2"/>
  <c r="D12" i="2" a="1"/>
  <c r="D12" i="2" s="1"/>
  <c r="C12" i="2"/>
  <c r="D11" i="2" a="1"/>
  <c r="D11" i="2" s="1"/>
  <c r="C11" i="2"/>
  <c r="D10" i="2" a="1"/>
  <c r="D10" i="2" s="1"/>
  <c r="C10" i="2"/>
  <c r="D9" i="2" a="1"/>
  <c r="D9" i="2" s="1"/>
  <c r="C9" i="2"/>
  <c r="D8" i="2" a="1"/>
  <c r="D8" i="2" s="1"/>
  <c r="C8" i="2"/>
  <c r="D7" i="2" a="1"/>
  <c r="D7" i="2" s="1"/>
  <c r="C7" i="2"/>
  <c r="D6" i="2" a="1"/>
  <c r="D6" i="2" s="1"/>
  <c r="C6" i="2"/>
  <c r="D5" i="2" a="1"/>
  <c r="D5" i="2" s="1"/>
  <c r="C5" i="2"/>
  <c r="D4" i="2" a="1"/>
  <c r="D4" i="2" s="1"/>
  <c r="C4" i="2"/>
  <c r="D3" i="2" a="1"/>
  <c r="D3" i="2" s="1"/>
  <c r="C3" i="2"/>
  <c r="D2" i="2" a="1"/>
  <c r="D2" i="2" s="1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<sst xmlns="http://schemas.openxmlformats.org/spreadsheetml/2006/main" count="942" uniqueCount="160">
  <si>
    <t>ATM</t>
  </si>
  <si>
    <t>1W</t>
  </si>
  <si>
    <t>1M</t>
  </si>
  <si>
    <t>3M</t>
  </si>
  <si>
    <t>6M</t>
  </si>
  <si>
    <t>9M</t>
  </si>
  <si>
    <t>1Y</t>
  </si>
  <si>
    <t>18M</t>
  </si>
  <si>
    <t>2Y</t>
  </si>
  <si>
    <t>Exp</t>
  </si>
  <si>
    <t>25 RR</t>
  </si>
  <si>
    <t>25 BF</t>
  </si>
  <si>
    <t>15 RR</t>
  </si>
  <si>
    <t>15 BF</t>
  </si>
  <si>
    <t>XAUUSDV1W BGN Curncy</t>
  </si>
  <si>
    <t>XAUUSD25R1W BGN Curncy</t>
  </si>
  <si>
    <t>XAUUSD25B1W BGN Curncy</t>
  </si>
  <si>
    <t>XAUUSD15R1W BGN Curncy</t>
  </si>
  <si>
    <t>XAUUSD15B1W BGN Curncy</t>
  </si>
  <si>
    <t>XAUUSDV1M BGN Curncy</t>
  </si>
  <si>
    <t>XAUUSD25R1M BGN Curncy</t>
  </si>
  <si>
    <t>XAUUSD25B1M BGN Curncy</t>
  </si>
  <si>
    <t>XAUUSD15R1M BGN Curncy</t>
  </si>
  <si>
    <t>XAUUSD15B1M BGN Curncy</t>
  </si>
  <si>
    <t>XAUUSDV3M BGN Curncy</t>
  </si>
  <si>
    <t>XAUUSD25R3M BGN Curncy</t>
  </si>
  <si>
    <t>XAUUSD25B3M BGN Curncy</t>
  </si>
  <si>
    <t>XAUUSD15R3M BGN Curncy</t>
  </si>
  <si>
    <t>XAUUSD15B3M BGN Curncy</t>
  </si>
  <si>
    <t>XAUUSDV6M BGN Curncy</t>
  </si>
  <si>
    <t>XAUUSD25R6M BGN Curncy</t>
  </si>
  <si>
    <t>XAUUSD25B6M BGN Curncy</t>
  </si>
  <si>
    <t>XAUUSD15R6M BGN Curncy</t>
  </si>
  <si>
    <t>XAUUSD15B6M BGN Curncy</t>
  </si>
  <si>
    <t>XAUUSDV9M BGN Curncy</t>
  </si>
  <si>
    <t>XAUUSD25R9M BGN Curncy</t>
  </si>
  <si>
    <t>XAUUSD25B9M BGN Curncy</t>
  </si>
  <si>
    <t>XAUUSD15R9M BGN Curncy</t>
  </si>
  <si>
    <t>XAUUSD15B9M BGN Curncy</t>
  </si>
  <si>
    <t>XAUUSDV1Y BGN Curncy</t>
  </si>
  <si>
    <t>XAUUSD25R1Y BGN Curncy</t>
  </si>
  <si>
    <t>XAUUSD25B1Y BGN Curncy</t>
  </si>
  <si>
    <t>XAUUSD15R1Y BGN Curncy</t>
  </si>
  <si>
    <t>XAUUSD15B1Y BGN Curncy</t>
  </si>
  <si>
    <t>XAUUSDV18M BGN Curncy</t>
  </si>
  <si>
    <t>XAUUSD25R18M BGN Curncy</t>
  </si>
  <si>
    <t>XAUUSD25B18M BGN Curncy</t>
  </si>
  <si>
    <t>XAUUSD15R18M BGN Curncy</t>
  </si>
  <si>
    <t>XAUUSD15B18M BGN Curncy</t>
  </si>
  <si>
    <t>XAUUSDV2Y BGN Curncy</t>
  </si>
  <si>
    <t>XAUUSD25R2Y BGN Curncy</t>
  </si>
  <si>
    <t>XAUUSD25B2Y BGN Curncy</t>
  </si>
  <si>
    <t>XAUUSD15R2Y BGN Curncy</t>
  </si>
  <si>
    <t>XAUUSD15B2Y BGN Curncy</t>
  </si>
  <si>
    <t>XAUUSD35R1W BGN Curncy</t>
  </si>
  <si>
    <t>XAUUSD35R1W BGN Curncy</t>
    <phoneticPr fontId="20" type="noConversion"/>
  </si>
  <si>
    <t>XAUUSD35R1M BGN Curncy</t>
  </si>
  <si>
    <t>XAUUSD35R1M BGN Curncy</t>
    <phoneticPr fontId="20" type="noConversion"/>
  </si>
  <si>
    <t>XAUUSD35R3M BGN Curncy</t>
  </si>
  <si>
    <t>XAUUSD35R3M BGN Curncy</t>
    <phoneticPr fontId="20" type="noConversion"/>
  </si>
  <si>
    <t>XAUUSD35R6M BGN Curncy</t>
  </si>
  <si>
    <t>XAUUSD35R6M BGN Curncy</t>
    <phoneticPr fontId="20" type="noConversion"/>
  </si>
  <si>
    <t>XAUUSD35R9M BGN Curncy</t>
  </si>
  <si>
    <t>XAUUSD35R9M BGN Curncy</t>
    <phoneticPr fontId="20" type="noConversion"/>
  </si>
  <si>
    <t>XAUUSD35R1Y BGN Curncy</t>
  </si>
  <si>
    <t>XAUUSD35R1Y BGN Curncy</t>
    <phoneticPr fontId="20" type="noConversion"/>
  </si>
  <si>
    <t>XAUUSD35R18M BGN Curncy</t>
  </si>
  <si>
    <t>XAUUSD35R18M BGN Curncy</t>
    <phoneticPr fontId="20" type="noConversion"/>
  </si>
  <si>
    <t>XAUUSD35R2Y BGN Curncy</t>
  </si>
  <si>
    <t>XAUUSD35R2Y BGN Curncy</t>
    <phoneticPr fontId="20" type="noConversion"/>
  </si>
  <si>
    <t>XAUUSD35B1W BGN Curncy</t>
  </si>
  <si>
    <t>XAUUSD35B1W BGN Curncy</t>
    <phoneticPr fontId="20" type="noConversion"/>
  </si>
  <si>
    <t>XAUUSD35B1M BGN Curncy</t>
  </si>
  <si>
    <t>XAUUSD35B1M BGN Curncy</t>
    <phoneticPr fontId="20" type="noConversion"/>
  </si>
  <si>
    <t>XAUUSD35B3M BGN Curncy</t>
  </si>
  <si>
    <t>XAUUSD35B3M BGN Curncy</t>
    <phoneticPr fontId="20" type="noConversion"/>
  </si>
  <si>
    <t>XAUUSD35B6M BGN Curncy</t>
  </si>
  <si>
    <t>XAUUSD35B6M BGN Curncy</t>
    <phoneticPr fontId="20" type="noConversion"/>
  </si>
  <si>
    <t>XAUUSD35B9M BGN Curncy</t>
  </si>
  <si>
    <t>XAUUSD35B9M BGN Curncy</t>
    <phoneticPr fontId="20" type="noConversion"/>
  </si>
  <si>
    <t>XAUUSD35B1Y BGN Curncy</t>
  </si>
  <si>
    <t>XAUUSD35B1Y BGN Curncy</t>
    <phoneticPr fontId="20" type="noConversion"/>
  </si>
  <si>
    <t>XAUUSD35B18M BGN Curncy</t>
  </si>
  <si>
    <t>XAUUSD35B18M BGN Curncy</t>
    <phoneticPr fontId="20" type="noConversion"/>
  </si>
  <si>
    <t>XAUUSD35B2Y BGN Curncy</t>
  </si>
  <si>
    <t>XAUUSD35B2Y BGN Curncy</t>
    <phoneticPr fontId="20" type="noConversion"/>
  </si>
  <si>
    <t>vol</t>
    <phoneticPr fontId="20" type="noConversion"/>
  </si>
  <si>
    <t>expiry</t>
    <phoneticPr fontId="20" type="noConversion"/>
  </si>
  <si>
    <t>tenor</t>
    <phoneticPr fontId="20" type="noConversion"/>
  </si>
  <si>
    <t>1W</t>
    <phoneticPr fontId="20" type="noConversion"/>
  </si>
  <si>
    <t>1M</t>
    <phoneticPr fontId="20" type="noConversion"/>
  </si>
  <si>
    <t>3M</t>
    <phoneticPr fontId="20" type="noConversion"/>
  </si>
  <si>
    <t>6M</t>
    <phoneticPr fontId="20" type="noConversion"/>
  </si>
  <si>
    <t>9M</t>
    <phoneticPr fontId="20" type="noConversion"/>
  </si>
  <si>
    <t>1Y</t>
    <phoneticPr fontId="20" type="noConversion"/>
  </si>
  <si>
    <t>18M</t>
    <phoneticPr fontId="20" type="noConversion"/>
  </si>
  <si>
    <t>2Y</t>
    <phoneticPr fontId="20" type="noConversion"/>
  </si>
  <si>
    <t>2025/8/20</t>
  </si>
  <si>
    <t>2025/9/15</t>
  </si>
  <si>
    <t>2025/11/13</t>
  </si>
  <si>
    <t>2026/2/13</t>
  </si>
  <si>
    <t>2026/5/13</t>
  </si>
  <si>
    <t>2026/8/13</t>
  </si>
  <si>
    <t>2027/2/16</t>
  </si>
  <si>
    <t>2027/8/13</t>
  </si>
  <si>
    <t>ATM</t>
    <phoneticPr fontId="20" type="noConversion"/>
  </si>
  <si>
    <t>35D_RR</t>
  </si>
  <si>
    <t>35D_RR</t>
    <phoneticPr fontId="20" type="noConversion"/>
  </si>
  <si>
    <t>25D_RR</t>
  </si>
  <si>
    <t>15D_RR</t>
  </si>
  <si>
    <t>35D_BF</t>
  </si>
  <si>
    <t>35D_BF</t>
    <phoneticPr fontId="20" type="noConversion"/>
  </si>
  <si>
    <t>25D_RR</t>
    <phoneticPr fontId="20" type="noConversion"/>
  </si>
  <si>
    <t>25D_BF</t>
  </si>
  <si>
    <t>25D_BF</t>
    <phoneticPr fontId="20" type="noConversion"/>
  </si>
  <si>
    <t>15D_RR</t>
    <phoneticPr fontId="20" type="noConversion"/>
  </si>
  <si>
    <t>15D_BF</t>
  </si>
  <si>
    <t>15D_BF</t>
    <phoneticPr fontId="20" type="noConversion"/>
  </si>
  <si>
    <t>Tenor</t>
  </si>
  <si>
    <t>ExpiryDate</t>
    <phoneticPr fontId="23" type="noConversion"/>
  </si>
  <si>
    <t>25DRR</t>
  </si>
  <si>
    <t>25DBF</t>
  </si>
  <si>
    <t>35DRR</t>
    <phoneticPr fontId="20" type="noConversion"/>
  </si>
  <si>
    <t>35DBF</t>
    <phoneticPr fontId="20" type="noConversion"/>
  </si>
  <si>
    <t>15DRR</t>
    <phoneticPr fontId="20" type="noConversion"/>
  </si>
  <si>
    <t>15DBF</t>
    <phoneticPr fontId="20" type="noConversion"/>
  </si>
  <si>
    <t>35 RR</t>
    <phoneticPr fontId="20" type="noConversion"/>
  </si>
  <si>
    <t>35 BF</t>
    <phoneticPr fontId="20" type="noConversion"/>
  </si>
  <si>
    <t>10 RR</t>
    <phoneticPr fontId="20" type="noConversion"/>
  </si>
  <si>
    <t>10 BF</t>
    <phoneticPr fontId="20" type="noConversion"/>
  </si>
  <si>
    <t>XAUUSD10R1W BGN Curncy</t>
  </si>
  <si>
    <t>XAUUSD10B1W BGN Curncy</t>
  </si>
  <si>
    <t>XAUUSD10R3M BGN Curncy</t>
  </si>
  <si>
    <t>XAUUSD10B3M BGN Curncy</t>
  </si>
  <si>
    <t>XAUUSD10R6M BGN Curncy</t>
  </si>
  <si>
    <t>XAUUSD10B6M BGN Curncy</t>
  </si>
  <si>
    <t>XAUUSD10R9M BGN Curncy</t>
  </si>
  <si>
    <t>XAUUSD10B9M BGN Curncy</t>
  </si>
  <si>
    <t>XAUUSD10R1Y BGN Curncy</t>
  </si>
  <si>
    <t>XAUUSD10B1Y BGN Curncy</t>
  </si>
  <si>
    <t>XAUUSD10R18M BGN Curncy</t>
  </si>
  <si>
    <t>XAUUSD10B18M BGN Curncy</t>
  </si>
  <si>
    <t>XAUUSD10R2Y BGN Curncy</t>
  </si>
  <si>
    <t>XAUUSD10B2Y BGN Curncy</t>
  </si>
  <si>
    <t>10D_RR</t>
  </si>
  <si>
    <t>10D_RR</t>
    <phoneticPr fontId="20" type="noConversion"/>
  </si>
  <si>
    <t>10D_BF</t>
  </si>
  <si>
    <t>10D_BF</t>
    <phoneticPr fontId="20" type="noConversion"/>
  </si>
  <si>
    <t>10DRR</t>
    <phoneticPr fontId="20" type="noConversion"/>
  </si>
  <si>
    <t>10DBF</t>
    <phoneticPr fontId="20" type="noConversion"/>
  </si>
  <si>
    <t>expiry</t>
    <phoneticPr fontId="21" type="noConversion"/>
  </si>
  <si>
    <t>vol</t>
    <phoneticPr fontId="21" type="noConversion"/>
  </si>
  <si>
    <t>delta_type</t>
    <phoneticPr fontId="20" type="noConversion"/>
  </si>
  <si>
    <t>ticker</t>
    <phoneticPr fontId="20" type="noConversion"/>
  </si>
  <si>
    <t>XAUUSD10B1M BGN Curncy</t>
    <phoneticPr fontId="20" type="noConversion"/>
  </si>
  <si>
    <t>XAUUSD10R1M BGN Curncy</t>
    <phoneticPr fontId="20" type="noConversion"/>
  </si>
  <si>
    <t>Ticker</t>
    <phoneticPr fontId="23" type="noConversion"/>
  </si>
  <si>
    <t>Delta Type</t>
  </si>
  <si>
    <t>Maturity Period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</si>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</sst>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9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18" fillId="0" borderId="0" xfId="0" applyFont="1" applyAlignment="1"/>
    <xf numFmtId="0" fontId="19" fillId="0" borderId="0" xfId="0" applyFont="1" applyAlignment="1"/>
    <xf numFmtId="0" fontId="19" fillId="0" borderId="0" xfId="0" applyFont="1"/>
    <xf numFmtId="0" fontId="0" fillId="0" borderId="0" xfId="0"/>
    <xf numFmtId="0" fontId="22" fillId="0" borderId="0" xfId="0" applyFont="1"/>
    <xf numFmtId="14" fontId="0" fillId="0" borderId="0" xfId="0" applyNumberFormat="1"/>
    <xf numFmtId="14" fontId="19" fillId="0" borderId="0" xfId="0" applyNumberFormat="1" applyFont="1"/>
    <xf numFmtId="0" fontId="24" fillId="0" borderId="10" xfId="0" applyFont="1" applyBorder="1" applyAlignment="1">
      <alignment horizontal="center" vertical="top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F048-26DF-4195-AB5D-F4937AB73E42}">
  <dimension ref="A1:D73"/>
  <sheetViews>
    <sheetView tabSelected="1" workbookViewId="0">
      <selection activeCell="G26" sqref="G26"/>
    </sheetView>
  </sheetViews>
  <sheetFormatPr defaultRowHeight="12.5" x14ac:dyDescent="0.25"/>
  <cols>
    <col min="1" max="1" width="27.81640625" bestFit="1" customWidth="1"/>
    <col min="2" max="2" width="11.81640625" bestFit="1" customWidth="1"/>
    <col min="3" max="3" width="17.1796875" bestFit="1" customWidth="1"/>
    <col min="4" max="4" width="9.90625" bestFit="1" customWidth="1"/>
  </cols>
  <sheetData>
    <row r="1" spans="1:4" ht="14" x14ac:dyDescent="0.25">
      <c r="A1" s="7" t="s">
        <v>156</v>
      </c>
      <c r="B1" s="7" t="s">
        <v>157</v>
      </c>
      <c r="C1" s="7" t="s">
        <v>158</v>
      </c>
      <c r="D1" s="7" t="s">
        <v>159</v>
      </c>
    </row>
    <row r="2" spans="1:4" x14ac:dyDescent="0.25">
      <c r="A2" s="2" t="s">
        <v>14</v>
      </c>
      <c r="B2" s="1" t="s">
        <v>105</v>
      </c>
      <c r="C2" s="2" t="s">
        <v>1</v>
      </c>
      <c r="D2" s="2">
        <v>14.205</v>
      </c>
    </row>
    <row r="3" spans="1:4" x14ac:dyDescent="0.25">
      <c r="A3" s="2" t="s">
        <v>19</v>
      </c>
      <c r="B3" s="1" t="s">
        <v>105</v>
      </c>
      <c r="C3" s="2" t="s">
        <v>2</v>
      </c>
      <c r="D3" s="2">
        <v>14.84</v>
      </c>
    </row>
    <row r="4" spans="1:4" x14ac:dyDescent="0.25">
      <c r="A4" s="2" t="s">
        <v>24</v>
      </c>
      <c r="B4" s="1" t="s">
        <v>105</v>
      </c>
      <c r="C4" s="2" t="s">
        <v>3</v>
      </c>
      <c r="D4" s="2">
        <v>15.07</v>
      </c>
    </row>
    <row r="5" spans="1:4" x14ac:dyDescent="0.25">
      <c r="A5" s="2" t="s">
        <v>29</v>
      </c>
      <c r="B5" s="1" t="s">
        <v>105</v>
      </c>
      <c r="C5" s="2" t="s">
        <v>4</v>
      </c>
      <c r="D5" s="2">
        <v>15.29</v>
      </c>
    </row>
    <row r="6" spans="1:4" x14ac:dyDescent="0.25">
      <c r="A6" s="2" t="s">
        <v>34</v>
      </c>
      <c r="B6" s="1" t="s">
        <v>105</v>
      </c>
      <c r="C6" s="2" t="s">
        <v>5</v>
      </c>
      <c r="D6" s="2">
        <v>15.574999999999999</v>
      </c>
    </row>
    <row r="7" spans="1:4" x14ac:dyDescent="0.25">
      <c r="A7" s="2" t="s">
        <v>39</v>
      </c>
      <c r="B7" s="1" t="s">
        <v>105</v>
      </c>
      <c r="C7" s="2" t="s">
        <v>6</v>
      </c>
      <c r="D7" s="2">
        <v>15.865</v>
      </c>
    </row>
    <row r="8" spans="1:4" x14ac:dyDescent="0.25">
      <c r="A8" s="2" t="s">
        <v>44</v>
      </c>
      <c r="B8" s="1" t="s">
        <v>105</v>
      </c>
      <c r="C8" s="2" t="s">
        <v>7</v>
      </c>
      <c r="D8" s="2">
        <v>16.535</v>
      </c>
    </row>
    <row r="9" spans="1:4" x14ac:dyDescent="0.25">
      <c r="A9" s="2" t="s">
        <v>49</v>
      </c>
      <c r="B9" s="1" t="s">
        <v>105</v>
      </c>
      <c r="C9" s="2" t="s">
        <v>8</v>
      </c>
      <c r="D9" s="2">
        <v>16.885000000000002</v>
      </c>
    </row>
    <row r="10" spans="1:4" x14ac:dyDescent="0.25">
      <c r="A10" s="2" t="s">
        <v>54</v>
      </c>
      <c r="B10" s="1" t="s">
        <v>107</v>
      </c>
      <c r="C10" s="2" t="s">
        <v>1</v>
      </c>
      <c r="D10" s="2">
        <v>0.52249999999999996</v>
      </c>
    </row>
    <row r="11" spans="1:4" x14ac:dyDescent="0.25">
      <c r="A11" s="2" t="s">
        <v>56</v>
      </c>
      <c r="B11" s="1" t="s">
        <v>107</v>
      </c>
      <c r="C11" s="2" t="s">
        <v>2</v>
      </c>
      <c r="D11" s="2">
        <v>0.64</v>
      </c>
    </row>
    <row r="12" spans="1:4" x14ac:dyDescent="0.25">
      <c r="A12" s="2" t="s">
        <v>58</v>
      </c>
      <c r="B12" s="1" t="s">
        <v>106</v>
      </c>
      <c r="C12" s="2" t="s">
        <v>3</v>
      </c>
      <c r="D12" s="2">
        <v>0.76749999999999996</v>
      </c>
    </row>
    <row r="13" spans="1:4" x14ac:dyDescent="0.25">
      <c r="A13" s="2" t="s">
        <v>60</v>
      </c>
      <c r="B13" s="1" t="s">
        <v>106</v>
      </c>
      <c r="C13" s="2" t="s">
        <v>4</v>
      </c>
      <c r="D13" s="2">
        <v>0.91</v>
      </c>
    </row>
    <row r="14" spans="1:4" x14ac:dyDescent="0.25">
      <c r="A14" s="2" t="s">
        <v>62</v>
      </c>
      <c r="B14" s="1" t="s">
        <v>106</v>
      </c>
      <c r="C14" s="2" t="s">
        <v>5</v>
      </c>
      <c r="D14" s="2">
        <v>1.0024999999999999</v>
      </c>
    </row>
    <row r="15" spans="1:4" x14ac:dyDescent="0.25">
      <c r="A15" s="2" t="s">
        <v>64</v>
      </c>
      <c r="B15" s="1" t="s">
        <v>106</v>
      </c>
      <c r="C15" s="2" t="s">
        <v>6</v>
      </c>
      <c r="D15" s="2">
        <v>1.06</v>
      </c>
    </row>
    <row r="16" spans="1:4" x14ac:dyDescent="0.25">
      <c r="A16" s="2" t="s">
        <v>66</v>
      </c>
      <c r="B16" s="1" t="s">
        <v>106</v>
      </c>
      <c r="C16" s="2" t="s">
        <v>7</v>
      </c>
      <c r="D16" s="2">
        <v>1.03</v>
      </c>
    </row>
    <row r="17" spans="1:4" x14ac:dyDescent="0.25">
      <c r="A17" s="2" t="s">
        <v>68</v>
      </c>
      <c r="B17" s="1" t="s">
        <v>106</v>
      </c>
      <c r="C17" s="2" t="s">
        <v>8</v>
      </c>
      <c r="D17" s="2">
        <v>1.0425</v>
      </c>
    </row>
    <row r="18" spans="1:4" x14ac:dyDescent="0.25">
      <c r="A18" s="2" t="s">
        <v>70</v>
      </c>
      <c r="B18" s="1" t="s">
        <v>111</v>
      </c>
      <c r="C18" s="2" t="s">
        <v>1</v>
      </c>
      <c r="D18" s="2">
        <v>7.4999999999999997E-2</v>
      </c>
    </row>
    <row r="19" spans="1:4" x14ac:dyDescent="0.25">
      <c r="A19" s="2" t="s">
        <v>72</v>
      </c>
      <c r="B19" s="1" t="s">
        <v>111</v>
      </c>
      <c r="C19" s="2" t="s">
        <v>2</v>
      </c>
      <c r="D19" s="2">
        <v>0.1</v>
      </c>
    </row>
    <row r="20" spans="1:4" x14ac:dyDescent="0.25">
      <c r="A20" s="2" t="s">
        <v>74</v>
      </c>
      <c r="B20" s="1" t="s">
        <v>110</v>
      </c>
      <c r="C20" s="2" t="s">
        <v>3</v>
      </c>
      <c r="D20" s="2">
        <v>0.125</v>
      </c>
    </row>
    <row r="21" spans="1:4" x14ac:dyDescent="0.25">
      <c r="A21" s="2" t="s">
        <v>76</v>
      </c>
      <c r="B21" s="1" t="s">
        <v>110</v>
      </c>
      <c r="C21" s="2" t="s">
        <v>4</v>
      </c>
      <c r="D21" s="2">
        <v>0.16</v>
      </c>
    </row>
    <row r="22" spans="1:4" x14ac:dyDescent="0.25">
      <c r="A22" s="2" t="s">
        <v>78</v>
      </c>
      <c r="B22" s="1" t="s">
        <v>110</v>
      </c>
      <c r="C22" s="2" t="s">
        <v>5</v>
      </c>
      <c r="D22" s="2">
        <v>0.185</v>
      </c>
    </row>
    <row r="23" spans="1:4" x14ac:dyDescent="0.25">
      <c r="A23" s="2" t="s">
        <v>80</v>
      </c>
      <c r="B23" s="1" t="s">
        <v>110</v>
      </c>
      <c r="C23" s="2" t="s">
        <v>6</v>
      </c>
      <c r="D23" s="2">
        <v>0.21</v>
      </c>
    </row>
    <row r="24" spans="1:4" x14ac:dyDescent="0.25">
      <c r="A24" s="2" t="s">
        <v>82</v>
      </c>
      <c r="B24" s="1" t="s">
        <v>110</v>
      </c>
      <c r="C24" s="2" t="s">
        <v>7</v>
      </c>
      <c r="D24" s="2">
        <v>0.23749999999999999</v>
      </c>
    </row>
    <row r="25" spans="1:4" x14ac:dyDescent="0.25">
      <c r="A25" s="2" t="s">
        <v>84</v>
      </c>
      <c r="B25" s="1" t="s">
        <v>110</v>
      </c>
      <c r="C25" s="2" t="s">
        <v>8</v>
      </c>
      <c r="D25" s="2">
        <v>0.25</v>
      </c>
    </row>
    <row r="26" spans="1:4" x14ac:dyDescent="0.25">
      <c r="A26" s="2" t="s">
        <v>15</v>
      </c>
      <c r="B26" s="1" t="s">
        <v>112</v>
      </c>
      <c r="C26" s="2" t="s">
        <v>1</v>
      </c>
      <c r="D26" s="2">
        <v>0.89249999999999996</v>
      </c>
    </row>
    <row r="27" spans="1:4" x14ac:dyDescent="0.25">
      <c r="A27" s="2" t="s">
        <v>20</v>
      </c>
      <c r="B27" s="1" t="s">
        <v>112</v>
      </c>
      <c r="C27" s="2" t="s">
        <v>2</v>
      </c>
      <c r="D27" s="2">
        <v>1.095</v>
      </c>
    </row>
    <row r="28" spans="1:4" x14ac:dyDescent="0.25">
      <c r="A28" s="2" t="s">
        <v>25</v>
      </c>
      <c r="B28" s="1" t="s">
        <v>108</v>
      </c>
      <c r="C28" s="2" t="s">
        <v>3</v>
      </c>
      <c r="D28" s="2">
        <v>1.3174999999999999</v>
      </c>
    </row>
    <row r="29" spans="1:4" x14ac:dyDescent="0.25">
      <c r="A29" s="2" t="s">
        <v>30</v>
      </c>
      <c r="B29" s="1" t="s">
        <v>108</v>
      </c>
      <c r="C29" s="2" t="s">
        <v>4</v>
      </c>
      <c r="D29" s="2">
        <v>1.5725</v>
      </c>
    </row>
    <row r="30" spans="1:4" x14ac:dyDescent="0.25">
      <c r="A30" s="2" t="s">
        <v>35</v>
      </c>
      <c r="B30" s="1" t="s">
        <v>108</v>
      </c>
      <c r="C30" s="2" t="s">
        <v>5</v>
      </c>
      <c r="D30" s="2">
        <v>1.7475000000000001</v>
      </c>
    </row>
    <row r="31" spans="1:4" x14ac:dyDescent="0.25">
      <c r="A31" s="2" t="s">
        <v>40</v>
      </c>
      <c r="B31" s="1" t="s">
        <v>108</v>
      </c>
      <c r="C31" s="2" t="s">
        <v>6</v>
      </c>
      <c r="D31" s="2">
        <v>1.88</v>
      </c>
    </row>
    <row r="32" spans="1:4" x14ac:dyDescent="0.25">
      <c r="A32" s="2" t="s">
        <v>45</v>
      </c>
      <c r="B32" s="1" t="s">
        <v>108</v>
      </c>
      <c r="C32" s="2" t="s">
        <v>7</v>
      </c>
      <c r="D32" s="2">
        <v>1.8525</v>
      </c>
    </row>
    <row r="33" spans="1:4" x14ac:dyDescent="0.25">
      <c r="A33" s="2" t="s">
        <v>50</v>
      </c>
      <c r="B33" s="1" t="s">
        <v>108</v>
      </c>
      <c r="C33" s="2" t="s">
        <v>8</v>
      </c>
      <c r="D33" s="2">
        <v>1.88</v>
      </c>
    </row>
    <row r="34" spans="1:4" x14ac:dyDescent="0.25">
      <c r="A34" s="2" t="s">
        <v>16</v>
      </c>
      <c r="B34" s="1" t="s">
        <v>114</v>
      </c>
      <c r="C34" s="2" t="s">
        <v>1</v>
      </c>
      <c r="D34" s="2">
        <v>0.2525</v>
      </c>
    </row>
    <row r="35" spans="1:4" x14ac:dyDescent="0.25">
      <c r="A35" s="2" t="s">
        <v>21</v>
      </c>
      <c r="B35" s="1" t="s">
        <v>114</v>
      </c>
      <c r="C35" s="2" t="s">
        <v>2</v>
      </c>
      <c r="D35" s="2">
        <v>0.315</v>
      </c>
    </row>
    <row r="36" spans="1:4" x14ac:dyDescent="0.25">
      <c r="A36" s="2" t="s">
        <v>26</v>
      </c>
      <c r="B36" s="1" t="s">
        <v>113</v>
      </c>
      <c r="C36" s="2" t="s">
        <v>3</v>
      </c>
      <c r="D36" s="2">
        <v>0.39500000000000002</v>
      </c>
    </row>
    <row r="37" spans="1:4" x14ac:dyDescent="0.25">
      <c r="A37" s="2" t="s">
        <v>31</v>
      </c>
      <c r="B37" s="1" t="s">
        <v>113</v>
      </c>
      <c r="C37" s="2" t="s">
        <v>4</v>
      </c>
      <c r="D37" s="2">
        <v>0.495</v>
      </c>
    </row>
    <row r="38" spans="1:4" x14ac:dyDescent="0.25">
      <c r="A38" s="2" t="s">
        <v>36</v>
      </c>
      <c r="B38" s="1" t="s">
        <v>113</v>
      </c>
      <c r="C38" s="2" t="s">
        <v>5</v>
      </c>
      <c r="D38" s="2">
        <v>0.56999999999999995</v>
      </c>
    </row>
    <row r="39" spans="1:4" x14ac:dyDescent="0.25">
      <c r="A39" s="2" t="s">
        <v>41</v>
      </c>
      <c r="B39" s="1" t="s">
        <v>113</v>
      </c>
      <c r="C39" s="2" t="s">
        <v>6</v>
      </c>
      <c r="D39" s="2">
        <v>0.64500000000000002</v>
      </c>
    </row>
    <row r="40" spans="1:4" x14ac:dyDescent="0.25">
      <c r="A40" s="2" t="s">
        <v>46</v>
      </c>
      <c r="B40" s="1" t="s">
        <v>113</v>
      </c>
      <c r="C40" s="2" t="s">
        <v>7</v>
      </c>
      <c r="D40" s="2">
        <v>0.71750000000000003</v>
      </c>
    </row>
    <row r="41" spans="1:4" x14ac:dyDescent="0.25">
      <c r="A41" s="2" t="s">
        <v>51</v>
      </c>
      <c r="B41" s="1" t="s">
        <v>113</v>
      </c>
      <c r="C41" s="2" t="s">
        <v>8</v>
      </c>
      <c r="D41" s="2">
        <v>0.75</v>
      </c>
    </row>
    <row r="42" spans="1:4" x14ac:dyDescent="0.25">
      <c r="A42" s="2" t="s">
        <v>17</v>
      </c>
      <c r="B42" s="1" t="s">
        <v>115</v>
      </c>
      <c r="C42" s="2" t="s">
        <v>1</v>
      </c>
      <c r="D42" s="2">
        <v>1.3075000000000001</v>
      </c>
    </row>
    <row r="43" spans="1:4" x14ac:dyDescent="0.25">
      <c r="A43" s="2" t="s">
        <v>22</v>
      </c>
      <c r="B43" s="1" t="s">
        <v>115</v>
      </c>
      <c r="C43" s="2" t="s">
        <v>2</v>
      </c>
      <c r="D43" s="2">
        <v>1.595</v>
      </c>
    </row>
    <row r="44" spans="1:4" x14ac:dyDescent="0.25">
      <c r="A44" s="2" t="s">
        <v>27</v>
      </c>
      <c r="B44" s="1" t="s">
        <v>109</v>
      </c>
      <c r="C44" s="2" t="s">
        <v>3</v>
      </c>
      <c r="D44" s="2">
        <v>1.9350000000000001</v>
      </c>
    </row>
    <row r="45" spans="1:4" x14ac:dyDescent="0.25">
      <c r="A45" s="2" t="s">
        <v>32</v>
      </c>
      <c r="B45" s="1" t="s">
        <v>109</v>
      </c>
      <c r="C45" s="2" t="s">
        <v>4</v>
      </c>
      <c r="D45" s="2">
        <v>2.3224999999999998</v>
      </c>
    </row>
    <row r="46" spans="1:4" x14ac:dyDescent="0.25">
      <c r="A46" s="2" t="s">
        <v>37</v>
      </c>
      <c r="B46" s="1" t="s">
        <v>109</v>
      </c>
      <c r="C46" s="2" t="s">
        <v>5</v>
      </c>
      <c r="D46" s="2">
        <v>2.65</v>
      </c>
    </row>
    <row r="47" spans="1:4" x14ac:dyDescent="0.25">
      <c r="A47" s="2" t="s">
        <v>42</v>
      </c>
      <c r="B47" s="1" t="s">
        <v>109</v>
      </c>
      <c r="C47" s="2" t="s">
        <v>6</v>
      </c>
      <c r="D47" s="2">
        <v>2.9224999999999999</v>
      </c>
    </row>
    <row r="48" spans="1:4" x14ac:dyDescent="0.25">
      <c r="A48" s="2" t="s">
        <v>47</v>
      </c>
      <c r="B48" s="1" t="s">
        <v>109</v>
      </c>
      <c r="C48" s="2" t="s">
        <v>7</v>
      </c>
      <c r="D48" s="2">
        <v>2.9474999999999998</v>
      </c>
    </row>
    <row r="49" spans="1:4" x14ac:dyDescent="0.25">
      <c r="A49" s="2" t="s">
        <v>52</v>
      </c>
      <c r="B49" s="1" t="s">
        <v>109</v>
      </c>
      <c r="C49" s="2" t="s">
        <v>8</v>
      </c>
      <c r="D49" s="2">
        <v>3.01</v>
      </c>
    </row>
    <row r="50" spans="1:4" x14ac:dyDescent="0.25">
      <c r="A50" s="2" t="s">
        <v>18</v>
      </c>
      <c r="B50" s="1" t="s">
        <v>117</v>
      </c>
      <c r="C50" s="2" t="s">
        <v>1</v>
      </c>
      <c r="D50" s="2">
        <v>0.62749999999999995</v>
      </c>
    </row>
    <row r="51" spans="1:4" x14ac:dyDescent="0.25">
      <c r="A51" s="2" t="s">
        <v>23</v>
      </c>
      <c r="B51" s="1" t="s">
        <v>117</v>
      </c>
      <c r="C51" s="2" t="s">
        <v>2</v>
      </c>
      <c r="D51" s="2">
        <v>0.73</v>
      </c>
    </row>
    <row r="52" spans="1:4" x14ac:dyDescent="0.25">
      <c r="A52" s="2" t="s">
        <v>28</v>
      </c>
      <c r="B52" s="1" t="s">
        <v>116</v>
      </c>
      <c r="C52" s="2" t="s">
        <v>3</v>
      </c>
      <c r="D52" s="2">
        <v>0.92</v>
      </c>
    </row>
    <row r="53" spans="1:4" x14ac:dyDescent="0.25">
      <c r="A53" s="2" t="s">
        <v>33</v>
      </c>
      <c r="B53" s="1" t="s">
        <v>116</v>
      </c>
      <c r="C53" s="2" t="s">
        <v>4</v>
      </c>
      <c r="D53" s="2">
        <v>1.135</v>
      </c>
    </row>
    <row r="54" spans="1:4" x14ac:dyDescent="0.25">
      <c r="A54" s="2" t="s">
        <v>38</v>
      </c>
      <c r="B54" s="1" t="s">
        <v>116</v>
      </c>
      <c r="C54" s="2" t="s">
        <v>5</v>
      </c>
      <c r="D54" s="2">
        <v>1.33</v>
      </c>
    </row>
    <row r="55" spans="1:4" x14ac:dyDescent="0.25">
      <c r="A55" s="2" t="s">
        <v>43</v>
      </c>
      <c r="B55" s="1" t="s">
        <v>116</v>
      </c>
      <c r="C55" s="2" t="s">
        <v>6</v>
      </c>
      <c r="D55" s="2">
        <v>1.4675</v>
      </c>
    </row>
    <row r="56" spans="1:4" x14ac:dyDescent="0.25">
      <c r="A56" s="2" t="s">
        <v>48</v>
      </c>
      <c r="B56" s="1" t="s">
        <v>116</v>
      </c>
      <c r="C56" s="2" t="s">
        <v>7</v>
      </c>
      <c r="D56" s="2">
        <v>1.6174999999999999</v>
      </c>
    </row>
    <row r="57" spans="1:4" x14ac:dyDescent="0.25">
      <c r="A57" s="2" t="s">
        <v>53</v>
      </c>
      <c r="B57" s="1" t="s">
        <v>116</v>
      </c>
      <c r="C57" s="2" t="s">
        <v>8</v>
      </c>
      <c r="D57" s="2">
        <v>1.6725000000000001</v>
      </c>
    </row>
    <row r="58" spans="1:4" x14ac:dyDescent="0.25">
      <c r="A58" s="2" t="s">
        <v>130</v>
      </c>
      <c r="B58" s="1" t="s">
        <v>145</v>
      </c>
      <c r="C58" s="2" t="s">
        <v>1</v>
      </c>
      <c r="D58" s="2">
        <v>1.5449999999999999</v>
      </c>
    </row>
    <row r="59" spans="1:4" x14ac:dyDescent="0.25">
      <c r="A59" s="2" t="s">
        <v>155</v>
      </c>
      <c r="B59" s="1" t="s">
        <v>145</v>
      </c>
      <c r="C59" s="2" t="s">
        <v>2</v>
      </c>
      <c r="D59" s="2">
        <v>1.885</v>
      </c>
    </row>
    <row r="60" spans="1:4" x14ac:dyDescent="0.25">
      <c r="A60" s="2" t="s">
        <v>132</v>
      </c>
      <c r="B60" s="1" t="s">
        <v>144</v>
      </c>
      <c r="C60" s="2" t="s">
        <v>3</v>
      </c>
      <c r="D60" s="2">
        <v>2.2875000000000001</v>
      </c>
    </row>
    <row r="61" spans="1:4" x14ac:dyDescent="0.25">
      <c r="A61" s="2" t="s">
        <v>134</v>
      </c>
      <c r="B61" s="1" t="s">
        <v>144</v>
      </c>
      <c r="C61" s="2" t="s">
        <v>4</v>
      </c>
      <c r="D61" s="2">
        <v>2.7475000000000001</v>
      </c>
    </row>
    <row r="62" spans="1:4" x14ac:dyDescent="0.25">
      <c r="A62" s="2" t="s">
        <v>136</v>
      </c>
      <c r="B62" s="1" t="s">
        <v>144</v>
      </c>
      <c r="C62" s="2" t="s">
        <v>5</v>
      </c>
      <c r="D62" s="2">
        <v>3.18</v>
      </c>
    </row>
    <row r="63" spans="1:4" x14ac:dyDescent="0.25">
      <c r="A63" s="2" t="s">
        <v>138</v>
      </c>
      <c r="B63" s="1" t="s">
        <v>144</v>
      </c>
      <c r="C63" s="2" t="s">
        <v>6</v>
      </c>
      <c r="D63" s="2">
        <v>3.55</v>
      </c>
    </row>
    <row r="64" spans="1:4" x14ac:dyDescent="0.25">
      <c r="A64" s="2" t="s">
        <v>140</v>
      </c>
      <c r="B64" s="1" t="s">
        <v>144</v>
      </c>
      <c r="C64" s="2" t="s">
        <v>7</v>
      </c>
      <c r="D64" s="2">
        <v>3.62</v>
      </c>
    </row>
    <row r="65" spans="1:4" x14ac:dyDescent="0.25">
      <c r="A65" s="2" t="s">
        <v>142</v>
      </c>
      <c r="B65" s="1" t="s">
        <v>144</v>
      </c>
      <c r="C65" s="2" t="s">
        <v>8</v>
      </c>
      <c r="D65" s="2">
        <v>3.71</v>
      </c>
    </row>
    <row r="66" spans="1:4" x14ac:dyDescent="0.25">
      <c r="A66" s="2" t="s">
        <v>131</v>
      </c>
      <c r="B66" s="1" t="s">
        <v>147</v>
      </c>
      <c r="C66" s="2" t="s">
        <v>1</v>
      </c>
      <c r="D66" s="2">
        <v>0.92749999999999999</v>
      </c>
    </row>
    <row r="67" spans="1:4" x14ac:dyDescent="0.25">
      <c r="A67" s="2" t="s">
        <v>154</v>
      </c>
      <c r="B67" s="1" t="s">
        <v>147</v>
      </c>
      <c r="C67" s="2" t="s">
        <v>2</v>
      </c>
      <c r="D67" s="2">
        <v>1.05</v>
      </c>
    </row>
    <row r="68" spans="1:4" x14ac:dyDescent="0.25">
      <c r="A68" s="2" t="s">
        <v>133</v>
      </c>
      <c r="B68" s="1" t="s">
        <v>146</v>
      </c>
      <c r="C68" s="2" t="s">
        <v>3</v>
      </c>
      <c r="D68" s="2">
        <v>1.3274999999999999</v>
      </c>
    </row>
    <row r="69" spans="1:4" x14ac:dyDescent="0.25">
      <c r="A69" s="2" t="s">
        <v>135</v>
      </c>
      <c r="B69" s="1" t="s">
        <v>146</v>
      </c>
      <c r="C69" s="2" t="s">
        <v>4</v>
      </c>
      <c r="D69" s="2">
        <v>1.6325000000000001</v>
      </c>
    </row>
    <row r="70" spans="1:4" x14ac:dyDescent="0.25">
      <c r="A70" s="2" t="s">
        <v>137</v>
      </c>
      <c r="B70" s="1" t="s">
        <v>146</v>
      </c>
      <c r="C70" s="2" t="s">
        <v>5</v>
      </c>
      <c r="D70" s="2">
        <v>1.92</v>
      </c>
    </row>
    <row r="71" spans="1:4" x14ac:dyDescent="0.25">
      <c r="A71" s="2" t="s">
        <v>139</v>
      </c>
      <c r="B71" s="1" t="s">
        <v>146</v>
      </c>
      <c r="C71" s="2" t="s">
        <v>6</v>
      </c>
      <c r="D71" s="2">
        <v>2.1025</v>
      </c>
    </row>
    <row r="72" spans="1:4" x14ac:dyDescent="0.25">
      <c r="A72" s="2" t="s">
        <v>141</v>
      </c>
      <c r="B72" s="1" t="s">
        <v>146</v>
      </c>
      <c r="C72" s="2" t="s">
        <v>7</v>
      </c>
      <c r="D72" s="2">
        <v>2.3050000000000002</v>
      </c>
    </row>
    <row r="73" spans="1:4" x14ac:dyDescent="0.25">
      <c r="A73" s="2" t="s">
        <v>143</v>
      </c>
      <c r="B73" s="1" t="s">
        <v>146</v>
      </c>
      <c r="C73" s="2" t="s">
        <v>8</v>
      </c>
      <c r="D73" s="2">
        <v>2.3725000000000001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8567-2948-4777-A65C-92C4CB5EF27E}">
  <dimension ref="A1:E41"/>
  <sheetViews>
    <sheetView workbookViewId="0">
      <selection activeCell="D42" sqref="D42"/>
    </sheetView>
  </sheetViews>
  <sheetFormatPr defaultRowHeight="12.5" x14ac:dyDescent="0.25"/>
  <cols>
    <col min="1" max="1" width="27.81640625" bestFit="1" customWidth="1"/>
    <col min="2" max="2" width="12.90625" bestFit="1" customWidth="1"/>
    <col min="3" max="3" width="19.08984375" bestFit="1" customWidth="1"/>
    <col min="4" max="4" width="19.08984375" customWidth="1"/>
    <col min="5" max="5" width="12.90625" bestFit="1" customWidth="1"/>
  </cols>
  <sheetData>
    <row r="1" spans="1:5" ht="14" x14ac:dyDescent="0.25">
      <c r="A1" s="7" t="s">
        <v>156</v>
      </c>
      <c r="B1" s="7" t="s">
        <v>157</v>
      </c>
      <c r="C1" s="7" t="s">
        <v>158</v>
      </c>
      <c r="D1" s="7" t="s">
        <v>87</v>
      </c>
      <c r="E1" s="7" t="s">
        <v>159</v>
      </c>
    </row>
    <row r="2" spans="1:5" x14ac:dyDescent="0.25">
      <c r="A2" s="2" t="s">
        <v>14</v>
      </c>
      <c r="B2" s="1" t="s">
        <v>105</v>
      </c>
      <c r="C2" s="2" t="s">
        <v>1</v>
      </c>
      <c r="D2" s="6" t="s">
        <v>97</v>
      </c>
      <c r="E2" s="2">
        <v>0.14205000000000001</v>
      </c>
    </row>
    <row r="3" spans="1:5" x14ac:dyDescent="0.25">
      <c r="A3" s="2" t="s">
        <v>19</v>
      </c>
      <c r="B3" s="1" t="s">
        <v>105</v>
      </c>
      <c r="C3" s="2" t="s">
        <v>2</v>
      </c>
      <c r="D3" s="6" t="s">
        <v>98</v>
      </c>
      <c r="E3" s="2">
        <v>0.1484</v>
      </c>
    </row>
    <row r="4" spans="1:5" x14ac:dyDescent="0.25">
      <c r="A4" s="2" t="s">
        <v>24</v>
      </c>
      <c r="B4" s="1" t="s">
        <v>105</v>
      </c>
      <c r="C4" s="2" t="s">
        <v>3</v>
      </c>
      <c r="D4" s="6" t="s">
        <v>99</v>
      </c>
      <c r="E4" s="2">
        <v>0.1507</v>
      </c>
    </row>
    <row r="5" spans="1:5" x14ac:dyDescent="0.25">
      <c r="A5" s="2" t="s">
        <v>29</v>
      </c>
      <c r="B5" s="1" t="s">
        <v>105</v>
      </c>
      <c r="C5" s="2" t="s">
        <v>4</v>
      </c>
      <c r="D5" s="6" t="s">
        <v>100</v>
      </c>
      <c r="E5" s="2">
        <v>0.15289999999999998</v>
      </c>
    </row>
    <row r="6" spans="1:5" x14ac:dyDescent="0.25">
      <c r="A6" s="2" t="s">
        <v>34</v>
      </c>
      <c r="B6" s="1" t="s">
        <v>105</v>
      </c>
      <c r="C6" s="2" t="s">
        <v>5</v>
      </c>
      <c r="D6" s="6" t="s">
        <v>101</v>
      </c>
      <c r="E6" s="2">
        <v>0.15575</v>
      </c>
    </row>
    <row r="7" spans="1:5" x14ac:dyDescent="0.25">
      <c r="A7" s="2" t="s">
        <v>39</v>
      </c>
      <c r="B7" s="1" t="s">
        <v>105</v>
      </c>
      <c r="C7" s="2" t="s">
        <v>6</v>
      </c>
      <c r="D7" s="6" t="s">
        <v>102</v>
      </c>
      <c r="E7" s="2">
        <v>0.15865000000000001</v>
      </c>
    </row>
    <row r="8" spans="1:5" x14ac:dyDescent="0.25">
      <c r="A8" s="2" t="s">
        <v>44</v>
      </c>
      <c r="B8" s="1" t="s">
        <v>105</v>
      </c>
      <c r="C8" s="2" t="s">
        <v>7</v>
      </c>
      <c r="D8" s="6" t="s">
        <v>103</v>
      </c>
      <c r="E8" s="2">
        <v>0.16535</v>
      </c>
    </row>
    <row r="9" spans="1:5" x14ac:dyDescent="0.25">
      <c r="A9" s="2" t="s">
        <v>49</v>
      </c>
      <c r="B9" s="1" t="s">
        <v>105</v>
      </c>
      <c r="C9" s="2" t="s">
        <v>8</v>
      </c>
      <c r="D9" s="6" t="s">
        <v>104</v>
      </c>
      <c r="E9" s="2">
        <v>0.16885000000000003</v>
      </c>
    </row>
    <row r="10" spans="1:5" x14ac:dyDescent="0.25">
      <c r="A10" s="2" t="s">
        <v>15</v>
      </c>
      <c r="B10" s="1" t="s">
        <v>112</v>
      </c>
      <c r="C10" s="2" t="s">
        <v>1</v>
      </c>
      <c r="D10" s="6" t="s">
        <v>97</v>
      </c>
      <c r="E10" s="2">
        <v>8.9249999999999989E-3</v>
      </c>
    </row>
    <row r="11" spans="1:5" x14ac:dyDescent="0.25">
      <c r="A11" s="2" t="s">
        <v>20</v>
      </c>
      <c r="B11" s="1" t="s">
        <v>112</v>
      </c>
      <c r="C11" s="2" t="s">
        <v>2</v>
      </c>
      <c r="D11" s="6" t="s">
        <v>98</v>
      </c>
      <c r="E11" s="2">
        <v>1.095E-2</v>
      </c>
    </row>
    <row r="12" spans="1:5" x14ac:dyDescent="0.25">
      <c r="A12" s="2" t="s">
        <v>25</v>
      </c>
      <c r="B12" s="1" t="s">
        <v>108</v>
      </c>
      <c r="C12" s="2" t="s">
        <v>3</v>
      </c>
      <c r="D12" s="6" t="s">
        <v>99</v>
      </c>
      <c r="E12" s="2">
        <v>1.3174999999999999E-2</v>
      </c>
    </row>
    <row r="13" spans="1:5" x14ac:dyDescent="0.25">
      <c r="A13" s="2" t="s">
        <v>30</v>
      </c>
      <c r="B13" s="1" t="s">
        <v>108</v>
      </c>
      <c r="C13" s="2" t="s">
        <v>4</v>
      </c>
      <c r="D13" s="6" t="s">
        <v>100</v>
      </c>
      <c r="E13" s="2">
        <v>1.5724999999999999E-2</v>
      </c>
    </row>
    <row r="14" spans="1:5" x14ac:dyDescent="0.25">
      <c r="A14" s="2" t="s">
        <v>35</v>
      </c>
      <c r="B14" s="1" t="s">
        <v>108</v>
      </c>
      <c r="C14" s="2" t="s">
        <v>5</v>
      </c>
      <c r="D14" s="6" t="s">
        <v>101</v>
      </c>
      <c r="E14" s="2">
        <v>1.7475000000000001E-2</v>
      </c>
    </row>
    <row r="15" spans="1:5" x14ac:dyDescent="0.25">
      <c r="A15" s="2" t="s">
        <v>40</v>
      </c>
      <c r="B15" s="1" t="s">
        <v>108</v>
      </c>
      <c r="C15" s="2" t="s">
        <v>6</v>
      </c>
      <c r="D15" s="6" t="s">
        <v>102</v>
      </c>
      <c r="E15" s="2">
        <v>1.8799999999999997E-2</v>
      </c>
    </row>
    <row r="16" spans="1:5" x14ac:dyDescent="0.25">
      <c r="A16" s="2" t="s">
        <v>45</v>
      </c>
      <c r="B16" s="1" t="s">
        <v>108</v>
      </c>
      <c r="C16" s="2" t="s">
        <v>7</v>
      </c>
      <c r="D16" s="6" t="s">
        <v>103</v>
      </c>
      <c r="E16" s="2">
        <v>1.8525E-2</v>
      </c>
    </row>
    <row r="17" spans="1:5" x14ac:dyDescent="0.25">
      <c r="A17" s="2" t="s">
        <v>50</v>
      </c>
      <c r="B17" s="1" t="s">
        <v>108</v>
      </c>
      <c r="C17" s="2" t="s">
        <v>8</v>
      </c>
      <c r="D17" s="6" t="s">
        <v>104</v>
      </c>
      <c r="E17" s="2">
        <v>1.8799999999999997E-2</v>
      </c>
    </row>
    <row r="18" spans="1:5" x14ac:dyDescent="0.25">
      <c r="A18" s="2" t="s">
        <v>16</v>
      </c>
      <c r="B18" s="1" t="s">
        <v>114</v>
      </c>
      <c r="C18" s="2" t="s">
        <v>1</v>
      </c>
      <c r="D18" s="6" t="s">
        <v>97</v>
      </c>
      <c r="E18" s="2">
        <v>2.5249999999999999E-3</v>
      </c>
    </row>
    <row r="19" spans="1:5" x14ac:dyDescent="0.25">
      <c r="A19" s="2" t="s">
        <v>21</v>
      </c>
      <c r="B19" s="1" t="s">
        <v>114</v>
      </c>
      <c r="C19" s="2" t="s">
        <v>2</v>
      </c>
      <c r="D19" s="6" t="s">
        <v>98</v>
      </c>
      <c r="E19" s="2">
        <v>3.15E-3</v>
      </c>
    </row>
    <row r="20" spans="1:5" x14ac:dyDescent="0.25">
      <c r="A20" s="2" t="s">
        <v>26</v>
      </c>
      <c r="B20" s="1" t="s">
        <v>113</v>
      </c>
      <c r="C20" s="2" t="s">
        <v>3</v>
      </c>
      <c r="D20" s="6" t="s">
        <v>99</v>
      </c>
      <c r="E20" s="2">
        <v>3.9500000000000004E-3</v>
      </c>
    </row>
    <row r="21" spans="1:5" x14ac:dyDescent="0.25">
      <c r="A21" s="2" t="s">
        <v>31</v>
      </c>
      <c r="B21" s="1" t="s">
        <v>113</v>
      </c>
      <c r="C21" s="2" t="s">
        <v>4</v>
      </c>
      <c r="D21" s="6" t="s">
        <v>100</v>
      </c>
      <c r="E21" s="2">
        <v>4.9499999999999995E-3</v>
      </c>
    </row>
    <row r="22" spans="1:5" x14ac:dyDescent="0.25">
      <c r="A22" s="2" t="s">
        <v>36</v>
      </c>
      <c r="B22" s="1" t="s">
        <v>113</v>
      </c>
      <c r="C22" s="2" t="s">
        <v>5</v>
      </c>
      <c r="D22" s="6" t="s">
        <v>101</v>
      </c>
      <c r="E22" s="2">
        <v>5.6999999999999993E-3</v>
      </c>
    </row>
    <row r="23" spans="1:5" x14ac:dyDescent="0.25">
      <c r="A23" s="2" t="s">
        <v>41</v>
      </c>
      <c r="B23" s="1" t="s">
        <v>113</v>
      </c>
      <c r="C23" s="2" t="s">
        <v>6</v>
      </c>
      <c r="D23" s="6" t="s">
        <v>102</v>
      </c>
      <c r="E23" s="2">
        <v>6.45E-3</v>
      </c>
    </row>
    <row r="24" spans="1:5" x14ac:dyDescent="0.25">
      <c r="A24" s="2" t="s">
        <v>46</v>
      </c>
      <c r="B24" s="1" t="s">
        <v>113</v>
      </c>
      <c r="C24" s="2" t="s">
        <v>7</v>
      </c>
      <c r="D24" s="6" t="s">
        <v>103</v>
      </c>
      <c r="E24" s="2">
        <v>7.175E-3</v>
      </c>
    </row>
    <row r="25" spans="1:5" x14ac:dyDescent="0.25">
      <c r="A25" s="2" t="s">
        <v>51</v>
      </c>
      <c r="B25" s="1" t="s">
        <v>113</v>
      </c>
      <c r="C25" s="2" t="s">
        <v>8</v>
      </c>
      <c r="D25" s="6" t="s">
        <v>104</v>
      </c>
      <c r="E25" s="2">
        <v>7.4999999999999997E-3</v>
      </c>
    </row>
    <row r="26" spans="1:5" x14ac:dyDescent="0.25">
      <c r="A26" s="2" t="s">
        <v>130</v>
      </c>
      <c r="B26" s="1" t="s">
        <v>145</v>
      </c>
      <c r="C26" s="2" t="s">
        <v>1</v>
      </c>
      <c r="D26" s="6" t="s">
        <v>97</v>
      </c>
      <c r="E26" s="2">
        <v>1.5449999999999998E-2</v>
      </c>
    </row>
    <row r="27" spans="1:5" x14ac:dyDescent="0.25">
      <c r="A27" s="2" t="s">
        <v>155</v>
      </c>
      <c r="B27" s="1" t="s">
        <v>145</v>
      </c>
      <c r="C27" s="2" t="s">
        <v>2</v>
      </c>
      <c r="D27" s="6" t="s">
        <v>98</v>
      </c>
      <c r="E27" s="2">
        <v>1.8849999999999999E-2</v>
      </c>
    </row>
    <row r="28" spans="1:5" x14ac:dyDescent="0.25">
      <c r="A28" s="2" t="s">
        <v>132</v>
      </c>
      <c r="B28" s="1" t="s">
        <v>144</v>
      </c>
      <c r="C28" s="2" t="s">
        <v>3</v>
      </c>
      <c r="D28" s="6" t="s">
        <v>99</v>
      </c>
      <c r="E28" s="2">
        <v>2.2875E-2</v>
      </c>
    </row>
    <row r="29" spans="1:5" x14ac:dyDescent="0.25">
      <c r="A29" s="2" t="s">
        <v>134</v>
      </c>
      <c r="B29" s="1" t="s">
        <v>144</v>
      </c>
      <c r="C29" s="2" t="s">
        <v>4</v>
      </c>
      <c r="D29" s="6" t="s">
        <v>100</v>
      </c>
      <c r="E29" s="2">
        <v>2.7474999999999999E-2</v>
      </c>
    </row>
    <row r="30" spans="1:5" x14ac:dyDescent="0.25">
      <c r="A30" s="2" t="s">
        <v>136</v>
      </c>
      <c r="B30" s="1" t="s">
        <v>144</v>
      </c>
      <c r="C30" s="2" t="s">
        <v>5</v>
      </c>
      <c r="D30" s="6" t="s">
        <v>101</v>
      </c>
      <c r="E30" s="2">
        <v>3.1800000000000002E-2</v>
      </c>
    </row>
    <row r="31" spans="1:5" x14ac:dyDescent="0.25">
      <c r="A31" s="2" t="s">
        <v>138</v>
      </c>
      <c r="B31" s="1" t="s">
        <v>144</v>
      </c>
      <c r="C31" s="2" t="s">
        <v>6</v>
      </c>
      <c r="D31" s="6" t="s">
        <v>102</v>
      </c>
      <c r="E31" s="2">
        <v>3.5499999999999997E-2</v>
      </c>
    </row>
    <row r="32" spans="1:5" x14ac:dyDescent="0.25">
      <c r="A32" s="2" t="s">
        <v>140</v>
      </c>
      <c r="B32" s="1" t="s">
        <v>144</v>
      </c>
      <c r="C32" s="2" t="s">
        <v>7</v>
      </c>
      <c r="D32" s="6" t="s">
        <v>103</v>
      </c>
      <c r="E32" s="2">
        <v>3.6200000000000003E-2</v>
      </c>
    </row>
    <row r="33" spans="1:5" x14ac:dyDescent="0.25">
      <c r="A33" s="2" t="s">
        <v>142</v>
      </c>
      <c r="B33" s="1" t="s">
        <v>144</v>
      </c>
      <c r="C33" s="2" t="s">
        <v>8</v>
      </c>
      <c r="D33" s="6" t="s">
        <v>104</v>
      </c>
      <c r="E33" s="2">
        <v>3.7100000000000001E-2</v>
      </c>
    </row>
    <row r="34" spans="1:5" x14ac:dyDescent="0.25">
      <c r="A34" s="2" t="s">
        <v>131</v>
      </c>
      <c r="B34" s="1" t="s">
        <v>147</v>
      </c>
      <c r="C34" s="2" t="s">
        <v>1</v>
      </c>
      <c r="D34" s="6" t="s">
        <v>97</v>
      </c>
      <c r="E34" s="2">
        <v>9.2750000000000003E-3</v>
      </c>
    </row>
    <row r="35" spans="1:5" x14ac:dyDescent="0.25">
      <c r="A35" s="2" t="s">
        <v>154</v>
      </c>
      <c r="B35" s="1" t="s">
        <v>147</v>
      </c>
      <c r="C35" s="2" t="s">
        <v>2</v>
      </c>
      <c r="D35" s="6" t="s">
        <v>98</v>
      </c>
      <c r="E35" s="2">
        <v>1.0500000000000001E-2</v>
      </c>
    </row>
    <row r="36" spans="1:5" x14ac:dyDescent="0.25">
      <c r="A36" s="2" t="s">
        <v>133</v>
      </c>
      <c r="B36" s="1" t="s">
        <v>146</v>
      </c>
      <c r="C36" s="2" t="s">
        <v>3</v>
      </c>
      <c r="D36" s="6" t="s">
        <v>99</v>
      </c>
      <c r="E36" s="2">
        <v>1.3274999999999999E-2</v>
      </c>
    </row>
    <row r="37" spans="1:5" x14ac:dyDescent="0.25">
      <c r="A37" s="2" t="s">
        <v>135</v>
      </c>
      <c r="B37" s="1" t="s">
        <v>146</v>
      </c>
      <c r="C37" s="2" t="s">
        <v>4</v>
      </c>
      <c r="D37" s="6" t="s">
        <v>100</v>
      </c>
      <c r="E37" s="2">
        <v>1.6324999999999999E-2</v>
      </c>
    </row>
    <row r="38" spans="1:5" x14ac:dyDescent="0.25">
      <c r="A38" s="2" t="s">
        <v>137</v>
      </c>
      <c r="B38" s="1" t="s">
        <v>146</v>
      </c>
      <c r="C38" s="2" t="s">
        <v>5</v>
      </c>
      <c r="D38" s="6" t="s">
        <v>101</v>
      </c>
      <c r="E38" s="2">
        <v>1.9199999999999998E-2</v>
      </c>
    </row>
    <row r="39" spans="1:5" x14ac:dyDescent="0.25">
      <c r="A39" s="2" t="s">
        <v>139</v>
      </c>
      <c r="B39" s="1" t="s">
        <v>146</v>
      </c>
      <c r="C39" s="2" t="s">
        <v>6</v>
      </c>
      <c r="D39" s="6" t="s">
        <v>102</v>
      </c>
      <c r="E39" s="2">
        <v>2.1025000000000002E-2</v>
      </c>
    </row>
    <row r="40" spans="1:5" x14ac:dyDescent="0.25">
      <c r="A40" s="2" t="s">
        <v>141</v>
      </c>
      <c r="B40" s="1" t="s">
        <v>146</v>
      </c>
      <c r="C40" s="2" t="s">
        <v>7</v>
      </c>
      <c r="D40" s="6" t="s">
        <v>103</v>
      </c>
      <c r="E40" s="2">
        <v>2.3050000000000001E-2</v>
      </c>
    </row>
    <row r="41" spans="1:5" x14ac:dyDescent="0.25">
      <c r="A41" s="2" t="s">
        <v>143</v>
      </c>
      <c r="B41" s="1" t="s">
        <v>146</v>
      </c>
      <c r="C41" s="2" t="s">
        <v>8</v>
      </c>
      <c r="D41" s="6" t="s">
        <v>104</v>
      </c>
      <c r="E41" s="2">
        <v>2.3725E-2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900A-C04A-495B-B15F-0006ECD2979B}">
  <dimension ref="A1:L69"/>
  <sheetViews>
    <sheetView workbookViewId="0">
      <selection activeCell="N19" sqref="N19"/>
    </sheetView>
  </sheetViews>
  <sheetFormatPr defaultRowHeight="12.5" x14ac:dyDescent="0.25"/>
  <cols>
    <col min="1" max="1" width="6" bestFit="1" customWidth="1"/>
    <col min="2" max="2" width="11.26953125" bestFit="1" customWidth="1"/>
    <col min="3" max="3" width="9.26953125" bestFit="1" customWidth="1"/>
    <col min="4" max="4" width="8.26953125" bestFit="1" customWidth="1"/>
    <col min="5" max="7" width="9.26953125" bestFit="1" customWidth="1"/>
    <col min="9" max="9" width="9.26953125" bestFit="1" customWidth="1"/>
  </cols>
  <sheetData>
    <row r="1" spans="1:12" ht="14" x14ac:dyDescent="0.3">
      <c r="A1" s="3" t="s">
        <v>118</v>
      </c>
      <c r="B1" s="4" t="s">
        <v>119</v>
      </c>
      <c r="C1" s="3" t="s">
        <v>0</v>
      </c>
      <c r="D1" s="2" t="s">
        <v>122</v>
      </c>
      <c r="E1" s="2" t="s">
        <v>123</v>
      </c>
      <c r="F1" s="3" t="s">
        <v>120</v>
      </c>
      <c r="G1" s="3" t="s">
        <v>121</v>
      </c>
      <c r="H1" s="2" t="s">
        <v>124</v>
      </c>
      <c r="I1" s="2" t="s">
        <v>125</v>
      </c>
      <c r="J1" s="2" t="s">
        <v>148</v>
      </c>
      <c r="K1" s="2" t="s">
        <v>149</v>
      </c>
    </row>
    <row r="2" spans="1:12" x14ac:dyDescent="0.25">
      <c r="A2" t="s">
        <v>1</v>
      </c>
      <c r="B2" t="s">
        <v>97</v>
      </c>
      <c r="C2">
        <v>0.14205000000000001</v>
      </c>
      <c r="D2">
        <v>5.2249999999999996E-3</v>
      </c>
      <c r="E2">
        <v>7.5000000000000002E-4</v>
      </c>
      <c r="F2">
        <v>8.9249999999999989E-3</v>
      </c>
      <c r="G2">
        <v>2.5249999999999999E-3</v>
      </c>
      <c r="H2">
        <v>1.3075000000000002E-2</v>
      </c>
      <c r="I2">
        <v>6.2749999999999993E-3</v>
      </c>
      <c r="J2">
        <v>1.5449999999999998E-2</v>
      </c>
      <c r="K2">
        <v>9.2750000000000003E-3</v>
      </c>
      <c r="L2" s="1"/>
    </row>
    <row r="3" spans="1:12" x14ac:dyDescent="0.25">
      <c r="A3" t="s">
        <v>2</v>
      </c>
      <c r="B3" t="s">
        <v>98</v>
      </c>
      <c r="C3">
        <v>0.1484</v>
      </c>
      <c r="D3">
        <v>6.4000000000000003E-3</v>
      </c>
      <c r="E3">
        <v>1E-3</v>
      </c>
      <c r="F3">
        <v>1.095E-2</v>
      </c>
      <c r="G3">
        <v>3.15E-3</v>
      </c>
      <c r="H3">
        <v>1.5949999999999999E-2</v>
      </c>
      <c r="I3">
        <v>7.3000000000000001E-3</v>
      </c>
      <c r="J3">
        <v>1.8849999999999999E-2</v>
      </c>
      <c r="K3">
        <v>1.0500000000000001E-2</v>
      </c>
      <c r="L3" s="1"/>
    </row>
    <row r="4" spans="1:12" x14ac:dyDescent="0.25">
      <c r="A4" t="s">
        <v>3</v>
      </c>
      <c r="B4" t="s">
        <v>99</v>
      </c>
      <c r="C4">
        <v>0.1507</v>
      </c>
      <c r="D4">
        <v>7.6749999999999995E-3</v>
      </c>
      <c r="E4">
        <v>1.25E-3</v>
      </c>
      <c r="F4">
        <v>1.3174999999999999E-2</v>
      </c>
      <c r="G4">
        <v>3.9500000000000004E-3</v>
      </c>
      <c r="H4">
        <v>1.9349999999999999E-2</v>
      </c>
      <c r="I4">
        <v>9.1999999999999998E-3</v>
      </c>
      <c r="J4">
        <v>2.2875E-2</v>
      </c>
      <c r="K4">
        <v>1.3274999999999999E-2</v>
      </c>
      <c r="L4" s="1"/>
    </row>
    <row r="5" spans="1:12" x14ac:dyDescent="0.25">
      <c r="A5" t="s">
        <v>4</v>
      </c>
      <c r="B5" t="s">
        <v>100</v>
      </c>
      <c r="C5">
        <v>0.15289999999999998</v>
      </c>
      <c r="D5">
        <v>9.1000000000000004E-3</v>
      </c>
      <c r="E5">
        <v>1.6000000000000001E-3</v>
      </c>
      <c r="F5">
        <v>1.5724999999999999E-2</v>
      </c>
      <c r="G5">
        <v>4.9499999999999995E-3</v>
      </c>
      <c r="H5">
        <v>2.3224999999999999E-2</v>
      </c>
      <c r="I5">
        <v>1.1350000000000001E-2</v>
      </c>
      <c r="J5">
        <v>2.7474999999999999E-2</v>
      </c>
      <c r="K5">
        <v>1.6324999999999999E-2</v>
      </c>
      <c r="L5" s="1"/>
    </row>
    <row r="6" spans="1:12" x14ac:dyDescent="0.25">
      <c r="A6" t="s">
        <v>5</v>
      </c>
      <c r="B6" t="s">
        <v>101</v>
      </c>
      <c r="C6">
        <v>0.15575</v>
      </c>
      <c r="D6">
        <v>1.0024999999999999E-2</v>
      </c>
      <c r="E6">
        <v>1.8500000000000001E-3</v>
      </c>
      <c r="F6">
        <v>1.7475000000000001E-2</v>
      </c>
      <c r="G6">
        <v>5.6999999999999993E-3</v>
      </c>
      <c r="H6">
        <v>2.6499999999999999E-2</v>
      </c>
      <c r="I6">
        <v>1.3300000000000001E-2</v>
      </c>
      <c r="J6">
        <v>3.1800000000000002E-2</v>
      </c>
      <c r="K6">
        <v>1.9199999999999998E-2</v>
      </c>
      <c r="L6" s="1"/>
    </row>
    <row r="7" spans="1:12" x14ac:dyDescent="0.25">
      <c r="A7" t="s">
        <v>6</v>
      </c>
      <c r="B7" t="s">
        <v>102</v>
      </c>
      <c r="C7">
        <v>0.15865000000000001</v>
      </c>
      <c r="D7">
        <v>1.06E-2</v>
      </c>
      <c r="E7">
        <v>2.0999999999999999E-3</v>
      </c>
      <c r="F7">
        <v>1.8799999999999997E-2</v>
      </c>
      <c r="G7">
        <v>6.45E-3</v>
      </c>
      <c r="H7">
        <v>2.9224999999999998E-2</v>
      </c>
      <c r="I7">
        <v>1.4675000000000001E-2</v>
      </c>
      <c r="J7">
        <v>3.5499999999999997E-2</v>
      </c>
      <c r="K7">
        <v>2.1025000000000002E-2</v>
      </c>
      <c r="L7" s="1"/>
    </row>
    <row r="8" spans="1:12" x14ac:dyDescent="0.25">
      <c r="A8" t="s">
        <v>7</v>
      </c>
      <c r="B8" t="s">
        <v>103</v>
      </c>
      <c r="C8">
        <v>0.16535</v>
      </c>
      <c r="D8">
        <v>1.03E-2</v>
      </c>
      <c r="E8">
        <v>2.3749999999999999E-3</v>
      </c>
      <c r="F8">
        <v>1.8525E-2</v>
      </c>
      <c r="G8">
        <v>7.175E-3</v>
      </c>
      <c r="H8">
        <v>2.9474999999999998E-2</v>
      </c>
      <c r="I8">
        <v>1.6174999999999998E-2</v>
      </c>
      <c r="J8">
        <v>3.6200000000000003E-2</v>
      </c>
      <c r="K8">
        <v>2.3050000000000001E-2</v>
      </c>
      <c r="L8" s="1"/>
    </row>
    <row r="9" spans="1:12" x14ac:dyDescent="0.25">
      <c r="A9" t="s">
        <v>8</v>
      </c>
      <c r="B9" t="s">
        <v>104</v>
      </c>
      <c r="C9">
        <v>0.16885000000000003</v>
      </c>
      <c r="D9">
        <v>1.0425E-2</v>
      </c>
      <c r="E9">
        <v>2.5000000000000001E-3</v>
      </c>
      <c r="F9">
        <v>1.8799999999999997E-2</v>
      </c>
      <c r="G9">
        <v>7.4999999999999997E-3</v>
      </c>
      <c r="H9">
        <v>3.0099999999999998E-2</v>
      </c>
      <c r="I9">
        <v>1.6725E-2</v>
      </c>
      <c r="J9">
        <v>3.7100000000000001E-2</v>
      </c>
      <c r="K9">
        <v>2.3725E-2</v>
      </c>
      <c r="L9" s="1"/>
    </row>
    <row r="10" spans="1:12" x14ac:dyDescent="0.25">
      <c r="A10" s="3"/>
      <c r="B10" s="5"/>
      <c r="C10" s="3"/>
      <c r="D10" s="3"/>
      <c r="E10" s="3"/>
      <c r="F10" s="3"/>
      <c r="G10" s="3"/>
      <c r="L10" s="1"/>
    </row>
    <row r="11" spans="1:12" x14ac:dyDescent="0.25">
      <c r="A11" s="3"/>
      <c r="B11" s="5"/>
      <c r="C11" s="3"/>
      <c r="D11" s="3"/>
      <c r="E11" s="3"/>
      <c r="F11" s="3"/>
      <c r="G11" s="3"/>
      <c r="L11" s="1"/>
    </row>
    <row r="12" spans="1:12" x14ac:dyDescent="0.25">
      <c r="A12" s="3"/>
      <c r="B12" s="5"/>
      <c r="C12" s="3"/>
      <c r="D12" s="3"/>
      <c r="E12" s="3"/>
      <c r="F12" s="3"/>
      <c r="G12" s="3"/>
      <c r="L12" s="1"/>
    </row>
    <row r="13" spans="1:12" x14ac:dyDescent="0.25">
      <c r="A13" s="3"/>
      <c r="B13" s="5"/>
      <c r="C13" s="3"/>
      <c r="D13" s="3"/>
      <c r="E13" s="3"/>
      <c r="F13" s="3"/>
      <c r="G13" s="3"/>
      <c r="L13" s="1"/>
    </row>
    <row r="14" spans="1:12" x14ac:dyDescent="0.25">
      <c r="L14" s="1"/>
    </row>
    <row r="15" spans="1:12" x14ac:dyDescent="0.25">
      <c r="L15" s="1"/>
    </row>
    <row r="16" spans="1:12" x14ac:dyDescent="0.25">
      <c r="L16" s="1"/>
    </row>
    <row r="17" spans="9:12" x14ac:dyDescent="0.25">
      <c r="I17" s="2"/>
      <c r="L17" s="1"/>
    </row>
    <row r="18" spans="9:12" x14ac:dyDescent="0.25">
      <c r="I18" s="2"/>
      <c r="L18" s="1"/>
    </row>
    <row r="19" spans="9:12" x14ac:dyDescent="0.25">
      <c r="I19" s="2"/>
      <c r="L19" s="1"/>
    </row>
    <row r="20" spans="9:12" x14ac:dyDescent="0.25">
      <c r="I20" s="2"/>
      <c r="L20" s="1"/>
    </row>
    <row r="21" spans="9:12" x14ac:dyDescent="0.25">
      <c r="I21" s="2"/>
      <c r="L21" s="1"/>
    </row>
    <row r="22" spans="9:12" x14ac:dyDescent="0.25">
      <c r="I22" s="2"/>
      <c r="L22" s="1"/>
    </row>
    <row r="23" spans="9:12" x14ac:dyDescent="0.25">
      <c r="I23" s="2"/>
      <c r="L23" s="1"/>
    </row>
    <row r="24" spans="9:12" x14ac:dyDescent="0.25">
      <c r="I24" s="2"/>
      <c r="L24" s="1"/>
    </row>
    <row r="25" spans="9:12" x14ac:dyDescent="0.25">
      <c r="I25" s="2"/>
      <c r="L25" s="1"/>
    </row>
    <row r="26" spans="9:12" x14ac:dyDescent="0.25">
      <c r="I26" s="2"/>
      <c r="L26" s="1"/>
    </row>
    <row r="27" spans="9:12" x14ac:dyDescent="0.25">
      <c r="I27" s="2"/>
      <c r="L27" s="1"/>
    </row>
    <row r="28" spans="9:12" x14ac:dyDescent="0.25">
      <c r="I28" s="2"/>
      <c r="L28" s="1"/>
    </row>
    <row r="29" spans="9:12" x14ac:dyDescent="0.25">
      <c r="I29" s="2"/>
      <c r="L29" s="1"/>
    </row>
    <row r="30" spans="9:12" x14ac:dyDescent="0.25">
      <c r="I30" s="2"/>
      <c r="L30" s="1"/>
    </row>
    <row r="31" spans="9:12" x14ac:dyDescent="0.25">
      <c r="I31" s="2"/>
      <c r="L31" s="1"/>
    </row>
    <row r="32" spans="9:12" x14ac:dyDescent="0.25">
      <c r="I32" s="2"/>
      <c r="L32" s="1"/>
    </row>
    <row r="33" spans="12:12" x14ac:dyDescent="0.25">
      <c r="L33" s="1"/>
    </row>
    <row r="34" spans="12:12" x14ac:dyDescent="0.25">
      <c r="L34" s="1"/>
    </row>
    <row r="35" spans="12:12" x14ac:dyDescent="0.25">
      <c r="L35" s="1"/>
    </row>
    <row r="36" spans="12:12" x14ac:dyDescent="0.25">
      <c r="L36" s="1"/>
    </row>
    <row r="37" spans="12:12" x14ac:dyDescent="0.25">
      <c r="L37" s="1"/>
    </row>
    <row r="38" spans="12:12" x14ac:dyDescent="0.25">
      <c r="L38" s="1"/>
    </row>
    <row r="39" spans="12:12" x14ac:dyDescent="0.25">
      <c r="L39" s="1"/>
    </row>
    <row r="40" spans="12:12" x14ac:dyDescent="0.25">
      <c r="L40" s="1"/>
    </row>
    <row r="41" spans="12:12" x14ac:dyDescent="0.25">
      <c r="L41" s="1"/>
    </row>
    <row r="42" spans="12:12" x14ac:dyDescent="0.25">
      <c r="L42" s="1"/>
    </row>
    <row r="43" spans="12:12" x14ac:dyDescent="0.25">
      <c r="L43" s="1"/>
    </row>
    <row r="44" spans="12:12" x14ac:dyDescent="0.25">
      <c r="L44" s="1"/>
    </row>
    <row r="45" spans="12:12" x14ac:dyDescent="0.25">
      <c r="L45" s="1"/>
    </row>
    <row r="46" spans="12:12" x14ac:dyDescent="0.25">
      <c r="L46" s="1"/>
    </row>
    <row r="47" spans="12:12" x14ac:dyDescent="0.25">
      <c r="L47" s="1"/>
    </row>
    <row r="48" spans="12:12" x14ac:dyDescent="0.25">
      <c r="L48" s="1"/>
    </row>
    <row r="49" spans="12:12" x14ac:dyDescent="0.25">
      <c r="L49" s="1"/>
    </row>
    <row r="50" spans="12:12" x14ac:dyDescent="0.25">
      <c r="L50" s="1"/>
    </row>
    <row r="51" spans="12:12" x14ac:dyDescent="0.25">
      <c r="L51" s="1"/>
    </row>
    <row r="52" spans="12:12" x14ac:dyDescent="0.25">
      <c r="L52" s="1"/>
    </row>
    <row r="53" spans="12:12" x14ac:dyDescent="0.25">
      <c r="L53" s="1"/>
    </row>
    <row r="54" spans="12:12" x14ac:dyDescent="0.25">
      <c r="L54" s="1"/>
    </row>
    <row r="55" spans="12:12" x14ac:dyDescent="0.25">
      <c r="L55" s="1"/>
    </row>
    <row r="56" spans="12:12" x14ac:dyDescent="0.25">
      <c r="L56" s="1"/>
    </row>
    <row r="57" spans="12:12" x14ac:dyDescent="0.25">
      <c r="L57" s="1"/>
    </row>
    <row r="58" spans="12:12" x14ac:dyDescent="0.25">
      <c r="L58" s="1"/>
    </row>
    <row r="59" spans="12:12" x14ac:dyDescent="0.25">
      <c r="L59" s="1"/>
    </row>
    <row r="60" spans="12:12" x14ac:dyDescent="0.25">
      <c r="L60" s="1"/>
    </row>
    <row r="61" spans="12:12" x14ac:dyDescent="0.25">
      <c r="L61" s="1"/>
    </row>
    <row r="62" spans="12:12" x14ac:dyDescent="0.25">
      <c r="L62" s="1"/>
    </row>
    <row r="63" spans="12:12" x14ac:dyDescent="0.25">
      <c r="L63" s="1"/>
    </row>
    <row r="64" spans="12:12" x14ac:dyDescent="0.25">
      <c r="L64" s="1"/>
    </row>
    <row r="65" spans="12:12" x14ac:dyDescent="0.25">
      <c r="L65" s="1"/>
    </row>
    <row r="66" spans="12:12" x14ac:dyDescent="0.25">
      <c r="L66" s="1"/>
    </row>
    <row r="67" spans="12:12" x14ac:dyDescent="0.25">
      <c r="L67" s="1"/>
    </row>
    <row r="68" spans="12:12" x14ac:dyDescent="0.25">
      <c r="L68" s="1"/>
    </row>
    <row r="69" spans="12:12" x14ac:dyDescent="0.25">
      <c r="L69" s="1"/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6D28-C35C-4416-B647-04095983DB1F}">
  <dimension ref="A1:U19"/>
  <sheetViews>
    <sheetView workbookViewId="0">
      <selection activeCell="D50" sqref="D50"/>
    </sheetView>
  </sheetViews>
  <sheetFormatPr defaultRowHeight="12.5" x14ac:dyDescent="0.25"/>
  <cols>
    <col min="1" max="1" width="5.26953125" bestFit="1" customWidth="1"/>
    <col min="2" max="2" width="26.81640625" bestFit="1" customWidth="1"/>
    <col min="3" max="4" width="26.81640625" customWidth="1"/>
    <col min="5" max="10" width="29.1796875" bestFit="1" customWidth="1"/>
    <col min="11" max="11" width="7.54296875" bestFit="1" customWidth="1"/>
    <col min="12" max="12" width="8" bestFit="1" customWidth="1"/>
    <col min="13" max="13" width="7.54296875" bestFit="1" customWidth="1"/>
    <col min="14" max="14" width="8.1796875" bestFit="1" customWidth="1"/>
    <col min="15" max="15" width="7.54296875" bestFit="1" customWidth="1"/>
    <col min="16" max="16" width="8" bestFit="1" customWidth="1"/>
    <col min="17" max="17" width="7.54296875" bestFit="1" customWidth="1"/>
    <col min="18" max="18" width="7.1796875" bestFit="1" customWidth="1"/>
    <col min="19" max="19" width="7.7265625" bestFit="1" customWidth="1"/>
    <col min="20" max="20" width="7" bestFit="1" customWidth="1"/>
    <col min="21" max="21" width="7.7265625" bestFit="1" customWidth="1"/>
  </cols>
  <sheetData>
    <row r="1" spans="1:21" x14ac:dyDescent="0.25">
      <c r="A1" s="2" t="s">
        <v>9</v>
      </c>
      <c r="B1" s="2" t="s">
        <v>0</v>
      </c>
      <c r="C1" s="2" t="s">
        <v>126</v>
      </c>
      <c r="D1" s="2" t="s">
        <v>127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128</v>
      </c>
      <c r="J1" s="2" t="s">
        <v>129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" t="s">
        <v>89</v>
      </c>
      <c r="B2" s="2" t="s">
        <v>14</v>
      </c>
      <c r="C2" s="2" t="s">
        <v>55</v>
      </c>
      <c r="D2" s="2" t="s">
        <v>71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130</v>
      </c>
      <c r="J2" s="2" t="s">
        <v>131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" t="s">
        <v>2</v>
      </c>
      <c r="B3" s="2" t="s">
        <v>19</v>
      </c>
      <c r="C3" s="2" t="s">
        <v>57</v>
      </c>
      <c r="D3" s="2" t="s">
        <v>73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155</v>
      </c>
      <c r="J3" s="2" t="s">
        <v>154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 t="s">
        <v>3</v>
      </c>
      <c r="B4" s="2" t="s">
        <v>24</v>
      </c>
      <c r="C4" s="2" t="s">
        <v>59</v>
      </c>
      <c r="D4" s="2" t="s">
        <v>75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132</v>
      </c>
      <c r="J4" s="2" t="s">
        <v>133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2" t="s">
        <v>4</v>
      </c>
      <c r="B5" s="2" t="s">
        <v>29</v>
      </c>
      <c r="C5" s="2" t="s">
        <v>61</v>
      </c>
      <c r="D5" s="2" t="s">
        <v>77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134</v>
      </c>
      <c r="J5" s="2" t="s">
        <v>135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2" t="s">
        <v>5</v>
      </c>
      <c r="B6" s="2" t="s">
        <v>34</v>
      </c>
      <c r="C6" s="2" t="s">
        <v>63</v>
      </c>
      <c r="D6" s="2" t="s">
        <v>79</v>
      </c>
      <c r="E6" s="2" t="s">
        <v>35</v>
      </c>
      <c r="F6" s="2" t="s">
        <v>36</v>
      </c>
      <c r="G6" s="2" t="s">
        <v>37</v>
      </c>
      <c r="H6" s="2" t="s">
        <v>38</v>
      </c>
      <c r="I6" s="2" t="s">
        <v>136</v>
      </c>
      <c r="J6" s="2" t="s">
        <v>137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" t="s">
        <v>6</v>
      </c>
      <c r="B7" s="2" t="s">
        <v>39</v>
      </c>
      <c r="C7" s="2" t="s">
        <v>65</v>
      </c>
      <c r="D7" s="2" t="s">
        <v>81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138</v>
      </c>
      <c r="J7" s="2" t="s">
        <v>139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2" t="s">
        <v>7</v>
      </c>
      <c r="B8" s="2" t="s">
        <v>44</v>
      </c>
      <c r="C8" s="2" t="s">
        <v>67</v>
      </c>
      <c r="D8" s="2" t="s">
        <v>83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140</v>
      </c>
      <c r="J8" s="2" t="s">
        <v>141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2" t="s">
        <v>8</v>
      </c>
      <c r="B9" s="2" t="s">
        <v>49</v>
      </c>
      <c r="C9" s="2" t="s">
        <v>69</v>
      </c>
      <c r="D9" s="2" t="s">
        <v>85</v>
      </c>
      <c r="E9" s="2" t="s">
        <v>50</v>
      </c>
      <c r="F9" s="2" t="s">
        <v>51</v>
      </c>
      <c r="G9" s="2" t="s">
        <v>52</v>
      </c>
      <c r="H9" s="2" t="s">
        <v>53</v>
      </c>
      <c r="I9" s="2" t="s">
        <v>142</v>
      </c>
      <c r="J9" s="2" t="s">
        <v>143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</sheetData>
  <phoneticPr fontId="2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8C0A-94CE-43EF-938B-47B7C9C55045}">
  <dimension ref="A1:D73"/>
  <sheetViews>
    <sheetView topLeftCell="A7" workbookViewId="0">
      <selection activeCell="B73" sqref="B73"/>
    </sheetView>
  </sheetViews>
  <sheetFormatPr defaultRowHeight="12.5" x14ac:dyDescent="0.25"/>
  <cols>
    <col min="1" max="1" width="29.1796875" bestFit="1" customWidth="1"/>
    <col min="2" max="2" width="29.1796875" customWidth="1"/>
    <col min="3" max="3" width="24.54296875" bestFit="1" customWidth="1"/>
    <col min="4" max="4" width="8.7265625" bestFit="1" customWidth="1"/>
  </cols>
  <sheetData>
    <row r="1" spans="1:4" x14ac:dyDescent="0.25">
      <c r="A1" s="2"/>
      <c r="B1" s="2" t="s">
        <v>88</v>
      </c>
      <c r="C1" s="2" t="s">
        <v>87</v>
      </c>
      <c r="D1" s="2" t="s">
        <v>86</v>
      </c>
    </row>
    <row r="2" spans="1:4" x14ac:dyDescent="0.25">
      <c r="A2" s="2" t="s">
        <v>14</v>
      </c>
      <c r="B2" s="2" t="s">
        <v>89</v>
      </c>
      <c r="C2" s="2" t="e">
        <f ca="1">_xll.BDP(A2,"SETTLE_DT", "REFERENCE_DATE=20250811")</f>
        <v>#NAME?</v>
      </c>
      <c r="D2" s="2" t="e" cm="1">
        <f t="array" aca="1" ref="D2" ca="1">_xll.BDH(A2,"px_last","20250811","20250811")</f>
        <v>#NAME?</v>
      </c>
    </row>
    <row r="3" spans="1:4" x14ac:dyDescent="0.25">
      <c r="A3" s="2" t="s">
        <v>19</v>
      </c>
      <c r="B3" s="2" t="s">
        <v>90</v>
      </c>
      <c r="C3" s="2" t="e">
        <f ca="1">_xll.BDP(A3,"SETTLE_DT", "REFERENCE_DATE=20250811")</f>
        <v>#NAME?</v>
      </c>
      <c r="D3" s="2" t="e" cm="1">
        <f t="array" aca="1" ref="D3" ca="1">_xll.BDH(A3,"px_last","20250811","20250811")</f>
        <v>#NAME?</v>
      </c>
    </row>
    <row r="4" spans="1:4" x14ac:dyDescent="0.25">
      <c r="A4" s="2" t="s">
        <v>24</v>
      </c>
      <c r="B4" s="2" t="s">
        <v>91</v>
      </c>
      <c r="C4" s="2" t="e">
        <f ca="1">_xll.BDP(A4,"SETTLE_DT", "REFERENCE_DATE=20250811")</f>
        <v>#NAME?</v>
      </c>
      <c r="D4" s="2" t="e" cm="1">
        <f t="array" aca="1" ref="D4" ca="1">_xll.BDH(A4,"px_last","20250811","20250811")</f>
        <v>#NAME?</v>
      </c>
    </row>
    <row r="5" spans="1:4" x14ac:dyDescent="0.25">
      <c r="A5" s="2" t="s">
        <v>29</v>
      </c>
      <c r="B5" s="2" t="s">
        <v>92</v>
      </c>
      <c r="C5" s="2" t="e">
        <f ca="1">_xll.BDP(A5,"SETTLE_DT", "REFERENCE_DATE=20250811")</f>
        <v>#NAME?</v>
      </c>
      <c r="D5" s="2" t="e" cm="1">
        <f t="array" aca="1" ref="D5" ca="1">_xll.BDH(A5,"px_last","20250811","20250811")</f>
        <v>#NAME?</v>
      </c>
    </row>
    <row r="6" spans="1:4" x14ac:dyDescent="0.25">
      <c r="A6" s="2" t="s">
        <v>34</v>
      </c>
      <c r="B6" s="2" t="s">
        <v>93</v>
      </c>
      <c r="C6" s="2" t="e">
        <f ca="1">_xll.BDP(A6,"SETTLE_DT", "REFERENCE_DATE=20250811")</f>
        <v>#NAME?</v>
      </c>
      <c r="D6" s="2" t="e" cm="1">
        <f t="array" aca="1" ref="D6" ca="1">_xll.BDH(A6,"px_last","20250811","20250811")</f>
        <v>#NAME?</v>
      </c>
    </row>
    <row r="7" spans="1:4" x14ac:dyDescent="0.25">
      <c r="A7" s="2" t="s">
        <v>39</v>
      </c>
      <c r="B7" s="2" t="s">
        <v>94</v>
      </c>
      <c r="C7" s="2" t="e">
        <f ca="1">_xll.BDP(A7,"SETTLE_DT", "REFERENCE_DATE=20250811")</f>
        <v>#NAME?</v>
      </c>
      <c r="D7" s="2" t="e" cm="1">
        <f t="array" aca="1" ref="D7" ca="1">_xll.BDH(A7,"px_last","20250811","20250811")</f>
        <v>#NAME?</v>
      </c>
    </row>
    <row r="8" spans="1:4" x14ac:dyDescent="0.25">
      <c r="A8" s="2" t="s">
        <v>44</v>
      </c>
      <c r="B8" s="2" t="s">
        <v>95</v>
      </c>
      <c r="C8" s="2" t="e">
        <f ca="1">_xll.BDP(A8,"SETTLE_DT", "REFERENCE_DATE=20250811")</f>
        <v>#NAME?</v>
      </c>
      <c r="D8" s="2" t="e" cm="1">
        <f t="array" aca="1" ref="D8" ca="1">_xll.BDH(A8,"px_last","20250811","20250811")</f>
        <v>#NAME?</v>
      </c>
    </row>
    <row r="9" spans="1:4" x14ac:dyDescent="0.25">
      <c r="A9" s="2" t="s">
        <v>49</v>
      </c>
      <c r="B9" s="2" t="s">
        <v>96</v>
      </c>
      <c r="C9" s="2" t="e">
        <f ca="1">_xll.BDP(A9,"SETTLE_DT", "REFERENCE_DATE=20250811")</f>
        <v>#NAME?</v>
      </c>
      <c r="D9" s="2" t="e" cm="1">
        <f t="array" aca="1" ref="D9" ca="1">_xll.BDH(A9,"px_last","20250811","20250811")</f>
        <v>#NAME?</v>
      </c>
    </row>
    <row r="10" spans="1:4" x14ac:dyDescent="0.25">
      <c r="A10" s="2" t="s">
        <v>55</v>
      </c>
      <c r="B10" s="2" t="s">
        <v>89</v>
      </c>
      <c r="C10" s="2" t="e">
        <f ca="1">_xll.BDP(A10,"SETTLE_DT", "REFERENCE_DATE=20250811")</f>
        <v>#NAME?</v>
      </c>
      <c r="D10" s="2" t="e" cm="1">
        <f t="array" aca="1" ref="D10" ca="1">_xll.BDH(A10,"px_last","20250811","20250811")</f>
        <v>#NAME?</v>
      </c>
    </row>
    <row r="11" spans="1:4" x14ac:dyDescent="0.25">
      <c r="A11" s="2" t="s">
        <v>57</v>
      </c>
      <c r="B11" s="2" t="s">
        <v>90</v>
      </c>
      <c r="C11" s="2" t="e">
        <f ca="1">_xll.BDP(A11,"SETTLE_DT", "REFERENCE_DATE=20250811")</f>
        <v>#NAME?</v>
      </c>
      <c r="D11" s="2" t="e" cm="1">
        <f t="array" aca="1" ref="D11" ca="1">_xll.BDH(A11,"px_last","20250811","20250811")</f>
        <v>#NAME?</v>
      </c>
    </row>
    <row r="12" spans="1:4" x14ac:dyDescent="0.25">
      <c r="A12" s="2" t="s">
        <v>59</v>
      </c>
      <c r="B12" s="2" t="s">
        <v>91</v>
      </c>
      <c r="C12" s="2" t="e">
        <f ca="1">_xll.BDP(A12,"SETTLE_DT", "REFERENCE_DATE=20250811")</f>
        <v>#NAME?</v>
      </c>
      <c r="D12" s="2" t="e" cm="1">
        <f t="array" aca="1" ref="D12" ca="1">_xll.BDH(A12,"px_last","20250811","20250811")</f>
        <v>#NAME?</v>
      </c>
    </row>
    <row r="13" spans="1:4" x14ac:dyDescent="0.25">
      <c r="A13" s="2" t="s">
        <v>61</v>
      </c>
      <c r="B13" s="2" t="s">
        <v>92</v>
      </c>
      <c r="C13" s="2" t="e">
        <f ca="1">_xll.BDP(A13,"SETTLE_DT", "REFERENCE_DATE=20250811")</f>
        <v>#NAME?</v>
      </c>
      <c r="D13" s="2" t="e" cm="1">
        <f t="array" aca="1" ref="D13" ca="1">_xll.BDH(A13,"px_last","20250811","20250811")</f>
        <v>#NAME?</v>
      </c>
    </row>
    <row r="14" spans="1:4" x14ac:dyDescent="0.25">
      <c r="A14" s="2" t="s">
        <v>63</v>
      </c>
      <c r="B14" s="2" t="s">
        <v>93</v>
      </c>
      <c r="C14" s="2" t="e">
        <f ca="1">_xll.BDP(A14,"SETTLE_DT", "REFERENCE_DATE=20250811")</f>
        <v>#NAME?</v>
      </c>
      <c r="D14" s="2" t="e" cm="1">
        <f t="array" aca="1" ref="D14" ca="1">_xll.BDH(A14,"px_last","20250811","20250811")</f>
        <v>#NAME?</v>
      </c>
    </row>
    <row r="15" spans="1:4" x14ac:dyDescent="0.25">
      <c r="A15" s="2" t="s">
        <v>65</v>
      </c>
      <c r="B15" s="2" t="s">
        <v>94</v>
      </c>
      <c r="C15" s="2" t="e">
        <f ca="1">_xll.BDP(A15,"SETTLE_DT", "REFERENCE_DATE=20250811")</f>
        <v>#NAME?</v>
      </c>
      <c r="D15" s="2" t="e" cm="1">
        <f t="array" aca="1" ref="D15" ca="1">_xll.BDH(A15,"px_last","20250811","20250811")</f>
        <v>#NAME?</v>
      </c>
    </row>
    <row r="16" spans="1:4" x14ac:dyDescent="0.25">
      <c r="A16" s="2" t="s">
        <v>67</v>
      </c>
      <c r="B16" s="2" t="s">
        <v>95</v>
      </c>
      <c r="C16" s="2" t="e">
        <f ca="1">_xll.BDP(A16,"SETTLE_DT", "REFERENCE_DATE=20250811")</f>
        <v>#NAME?</v>
      </c>
      <c r="D16" s="2" t="e" cm="1">
        <f t="array" aca="1" ref="D16" ca="1">_xll.BDH(A16,"px_last","20250811","20250811")</f>
        <v>#NAME?</v>
      </c>
    </row>
    <row r="17" spans="1:4" x14ac:dyDescent="0.25">
      <c r="A17" s="2" t="s">
        <v>69</v>
      </c>
      <c r="B17" s="2" t="s">
        <v>96</v>
      </c>
      <c r="C17" s="2" t="e">
        <f ca="1">_xll.BDP(A17,"SETTLE_DT", "REFERENCE_DATE=20250811")</f>
        <v>#NAME?</v>
      </c>
      <c r="D17" s="2" t="e" cm="1">
        <f t="array" aca="1" ref="D17" ca="1">_xll.BDH(A17,"px_last","20250811","20250811")</f>
        <v>#NAME?</v>
      </c>
    </row>
    <row r="18" spans="1:4" x14ac:dyDescent="0.25">
      <c r="A18" s="2" t="s">
        <v>71</v>
      </c>
      <c r="B18" s="2" t="s">
        <v>89</v>
      </c>
      <c r="C18" s="2" t="e">
        <f ca="1">_xll.BDP(A18,"SETTLE_DT", "REFERENCE_DATE=20250811")</f>
        <v>#NAME?</v>
      </c>
      <c r="D18" s="2" t="e" cm="1">
        <f t="array" aca="1" ref="D18" ca="1">_xll.BDH(A18,"px_last","20250811","20250811")</f>
        <v>#NAME?</v>
      </c>
    </row>
    <row r="19" spans="1:4" x14ac:dyDescent="0.25">
      <c r="A19" s="2" t="s">
        <v>73</v>
      </c>
      <c r="B19" s="2" t="s">
        <v>90</v>
      </c>
      <c r="C19" s="2" t="e">
        <f ca="1">_xll.BDP(A19,"SETTLE_DT", "REFERENCE_DATE=20250811")</f>
        <v>#NAME?</v>
      </c>
      <c r="D19" s="2" t="e" cm="1">
        <f t="array" aca="1" ref="D19" ca="1">_xll.BDH(A19,"px_last","20250811","20250811")</f>
        <v>#NAME?</v>
      </c>
    </row>
    <row r="20" spans="1:4" x14ac:dyDescent="0.25">
      <c r="A20" s="2" t="s">
        <v>75</v>
      </c>
      <c r="B20" s="2" t="s">
        <v>91</v>
      </c>
      <c r="C20" s="2" t="e">
        <f ca="1">_xll.BDP(A20,"SETTLE_DT", "REFERENCE_DATE=20250811")</f>
        <v>#NAME?</v>
      </c>
      <c r="D20" s="2" t="e" cm="1">
        <f t="array" aca="1" ref="D20" ca="1">_xll.BDH(A20,"px_last","20250811","20250811")</f>
        <v>#NAME?</v>
      </c>
    </row>
    <row r="21" spans="1:4" x14ac:dyDescent="0.25">
      <c r="A21" s="2" t="s">
        <v>77</v>
      </c>
      <c r="B21" s="2" t="s">
        <v>92</v>
      </c>
      <c r="C21" s="2" t="e">
        <f ca="1">_xll.BDP(A21,"SETTLE_DT", "REFERENCE_DATE=20250811")</f>
        <v>#NAME?</v>
      </c>
      <c r="D21" s="2" t="e" cm="1">
        <f t="array" aca="1" ref="D21" ca="1">_xll.BDH(A21,"px_last","20250811","20250811")</f>
        <v>#NAME?</v>
      </c>
    </row>
    <row r="22" spans="1:4" x14ac:dyDescent="0.25">
      <c r="A22" s="2" t="s">
        <v>79</v>
      </c>
      <c r="B22" s="2" t="s">
        <v>93</v>
      </c>
      <c r="C22" s="2" t="e">
        <f ca="1">_xll.BDP(A22,"SETTLE_DT", "REFERENCE_DATE=20250811")</f>
        <v>#NAME?</v>
      </c>
      <c r="D22" s="2" t="e" cm="1">
        <f t="array" aca="1" ref="D22" ca="1">_xll.BDH(A22,"px_last","20250811","20250811")</f>
        <v>#NAME?</v>
      </c>
    </row>
    <row r="23" spans="1:4" x14ac:dyDescent="0.25">
      <c r="A23" s="2" t="s">
        <v>81</v>
      </c>
      <c r="B23" s="2" t="s">
        <v>94</v>
      </c>
      <c r="C23" s="2" t="e">
        <f ca="1">_xll.BDP(A23,"SETTLE_DT", "REFERENCE_DATE=20250811")</f>
        <v>#NAME?</v>
      </c>
      <c r="D23" s="2" t="e" cm="1">
        <f t="array" aca="1" ref="D23" ca="1">_xll.BDH(A23,"px_last","20250811","20250811")</f>
        <v>#NAME?</v>
      </c>
    </row>
    <row r="24" spans="1:4" x14ac:dyDescent="0.25">
      <c r="A24" s="2" t="s">
        <v>83</v>
      </c>
      <c r="B24" s="2" t="s">
        <v>95</v>
      </c>
      <c r="C24" s="2" t="e">
        <f ca="1">_xll.BDP(A24,"SETTLE_DT", "REFERENCE_DATE=20250811")</f>
        <v>#NAME?</v>
      </c>
      <c r="D24" s="2" t="e" cm="1">
        <f t="array" aca="1" ref="D24" ca="1">_xll.BDH(A24,"px_last","20250811","20250811")</f>
        <v>#NAME?</v>
      </c>
    </row>
    <row r="25" spans="1:4" x14ac:dyDescent="0.25">
      <c r="A25" s="2" t="s">
        <v>85</v>
      </c>
      <c r="B25" s="2" t="s">
        <v>96</v>
      </c>
      <c r="C25" s="2" t="e">
        <f ca="1">_xll.BDP(A25,"SETTLE_DT", "REFERENCE_DATE=20250811")</f>
        <v>#NAME?</v>
      </c>
      <c r="D25" s="2" t="e" cm="1">
        <f t="array" aca="1" ref="D25" ca="1">_xll.BDH(A25,"px_last","20250811","20250811")</f>
        <v>#NAME?</v>
      </c>
    </row>
    <row r="26" spans="1:4" x14ac:dyDescent="0.25">
      <c r="A26" s="2" t="s">
        <v>15</v>
      </c>
      <c r="B26" s="2" t="s">
        <v>89</v>
      </c>
      <c r="C26" s="2" t="e">
        <f ca="1">_xll.BDP(A26,"SETTLE_DT", "REFERENCE_DATE=20250811")</f>
        <v>#NAME?</v>
      </c>
      <c r="D26" s="2" t="e" cm="1">
        <f t="array" aca="1" ref="D26" ca="1">_xll.BDH(A26,"px_last","20250811","20250811")</f>
        <v>#NAME?</v>
      </c>
    </row>
    <row r="27" spans="1:4" x14ac:dyDescent="0.25">
      <c r="A27" s="2" t="s">
        <v>20</v>
      </c>
      <c r="B27" s="2" t="s">
        <v>90</v>
      </c>
      <c r="C27" s="2" t="e">
        <f ca="1">_xll.BDP(A27,"SETTLE_DT", "REFERENCE_DATE=20250811")</f>
        <v>#NAME?</v>
      </c>
      <c r="D27" s="2" t="e" cm="1">
        <f t="array" aca="1" ref="D27" ca="1">_xll.BDH(A27,"px_last","20250811","20250811")</f>
        <v>#NAME?</v>
      </c>
    </row>
    <row r="28" spans="1:4" x14ac:dyDescent="0.25">
      <c r="A28" s="2" t="s">
        <v>25</v>
      </c>
      <c r="B28" s="2" t="s">
        <v>91</v>
      </c>
      <c r="C28" s="2" t="e">
        <f ca="1">_xll.BDP(A28,"SETTLE_DT", "REFERENCE_DATE=20250811")</f>
        <v>#NAME?</v>
      </c>
      <c r="D28" s="2" t="e" cm="1">
        <f t="array" aca="1" ref="D28" ca="1">_xll.BDH(A28,"px_last","20250811","20250811")</f>
        <v>#NAME?</v>
      </c>
    </row>
    <row r="29" spans="1:4" x14ac:dyDescent="0.25">
      <c r="A29" s="2" t="s">
        <v>30</v>
      </c>
      <c r="B29" s="2" t="s">
        <v>92</v>
      </c>
      <c r="C29" s="2" t="e">
        <f ca="1">_xll.BDP(A29,"SETTLE_DT", "REFERENCE_DATE=20250811")</f>
        <v>#NAME?</v>
      </c>
      <c r="D29" s="2" t="e" cm="1">
        <f t="array" aca="1" ref="D29" ca="1">_xll.BDH(A29,"px_last","20250811","20250811")</f>
        <v>#NAME?</v>
      </c>
    </row>
    <row r="30" spans="1:4" x14ac:dyDescent="0.25">
      <c r="A30" s="2" t="s">
        <v>35</v>
      </c>
      <c r="B30" s="2" t="s">
        <v>93</v>
      </c>
      <c r="C30" s="2" t="e">
        <f ca="1">_xll.BDP(A30,"SETTLE_DT", "REFERENCE_DATE=20250811")</f>
        <v>#NAME?</v>
      </c>
      <c r="D30" s="2" t="e" cm="1">
        <f t="array" aca="1" ref="D30" ca="1">_xll.BDH(A30,"px_last","20250811","20250811")</f>
        <v>#NAME?</v>
      </c>
    </row>
    <row r="31" spans="1:4" x14ac:dyDescent="0.25">
      <c r="A31" s="2" t="s">
        <v>40</v>
      </c>
      <c r="B31" s="2" t="s">
        <v>94</v>
      </c>
      <c r="C31" s="2" t="e">
        <f ca="1">_xll.BDP(A31,"SETTLE_DT", "REFERENCE_DATE=20250811")</f>
        <v>#NAME?</v>
      </c>
      <c r="D31" s="2" t="e" cm="1">
        <f t="array" aca="1" ref="D31" ca="1">_xll.BDH(A31,"px_last","20250811","20250811")</f>
        <v>#NAME?</v>
      </c>
    </row>
    <row r="32" spans="1:4" x14ac:dyDescent="0.25">
      <c r="A32" s="2" t="s">
        <v>45</v>
      </c>
      <c r="B32" s="2" t="s">
        <v>95</v>
      </c>
      <c r="C32" s="2" t="e">
        <f ca="1">_xll.BDP(A32,"SETTLE_DT", "REFERENCE_DATE=20250811")</f>
        <v>#NAME?</v>
      </c>
      <c r="D32" s="2" t="e" cm="1">
        <f t="array" aca="1" ref="D32" ca="1">_xll.BDH(A32,"px_last","20250811","20250811")</f>
        <v>#NAME?</v>
      </c>
    </row>
    <row r="33" spans="1:4" x14ac:dyDescent="0.25">
      <c r="A33" s="2" t="s">
        <v>50</v>
      </c>
      <c r="B33" s="2" t="s">
        <v>96</v>
      </c>
      <c r="C33" s="2" t="e">
        <f ca="1">_xll.BDP(A33,"SETTLE_DT", "REFERENCE_DATE=20250811")</f>
        <v>#NAME?</v>
      </c>
      <c r="D33" s="2" t="e" cm="1">
        <f t="array" aca="1" ref="D33" ca="1">_xll.BDH(A33,"px_last","20250811","20250811")</f>
        <v>#NAME?</v>
      </c>
    </row>
    <row r="34" spans="1:4" x14ac:dyDescent="0.25">
      <c r="A34" s="2" t="s">
        <v>16</v>
      </c>
      <c r="B34" s="2" t="s">
        <v>89</v>
      </c>
      <c r="C34" s="2" t="e">
        <f ca="1">_xll.BDP(A34,"SETTLE_DT", "REFERENCE_DATE=20250811")</f>
        <v>#NAME?</v>
      </c>
      <c r="D34" s="2" t="e" cm="1">
        <f t="array" aca="1" ref="D34" ca="1">_xll.BDH(A34,"px_last","20250811","20250811")</f>
        <v>#NAME?</v>
      </c>
    </row>
    <row r="35" spans="1:4" x14ac:dyDescent="0.25">
      <c r="A35" s="2" t="s">
        <v>21</v>
      </c>
      <c r="B35" s="2" t="s">
        <v>90</v>
      </c>
      <c r="C35" s="2" t="e">
        <f ca="1">_xll.BDP(A35,"SETTLE_DT", "REFERENCE_DATE=20250811")</f>
        <v>#NAME?</v>
      </c>
      <c r="D35" s="2" t="e" cm="1">
        <f t="array" aca="1" ref="D35" ca="1">_xll.BDH(A35,"px_last","20250811","20250811")</f>
        <v>#NAME?</v>
      </c>
    </row>
    <row r="36" spans="1:4" x14ac:dyDescent="0.25">
      <c r="A36" s="2" t="s">
        <v>26</v>
      </c>
      <c r="B36" s="2" t="s">
        <v>91</v>
      </c>
      <c r="C36" s="2" t="e">
        <f ca="1">_xll.BDP(A36,"SETTLE_DT", "REFERENCE_DATE=20250811")</f>
        <v>#NAME?</v>
      </c>
      <c r="D36" s="2" t="e" cm="1">
        <f t="array" aca="1" ref="D36" ca="1">_xll.BDH(A36,"px_last","20250811","20250811")</f>
        <v>#NAME?</v>
      </c>
    </row>
    <row r="37" spans="1:4" x14ac:dyDescent="0.25">
      <c r="A37" s="2" t="s">
        <v>31</v>
      </c>
      <c r="B37" s="2" t="s">
        <v>92</v>
      </c>
      <c r="C37" s="2" t="e">
        <f ca="1">_xll.BDP(A37,"SETTLE_DT", "REFERENCE_DATE=20250811")</f>
        <v>#NAME?</v>
      </c>
      <c r="D37" s="2" t="e" cm="1">
        <f t="array" aca="1" ref="D37" ca="1">_xll.BDH(A37,"px_last","20250811","20250811")</f>
        <v>#NAME?</v>
      </c>
    </row>
    <row r="38" spans="1:4" x14ac:dyDescent="0.25">
      <c r="A38" s="2" t="s">
        <v>36</v>
      </c>
      <c r="B38" s="2" t="s">
        <v>93</v>
      </c>
      <c r="C38" s="2" t="e">
        <f ca="1">_xll.BDP(A38,"SETTLE_DT", "REFERENCE_DATE=20250811")</f>
        <v>#NAME?</v>
      </c>
      <c r="D38" s="2" t="e" cm="1">
        <f t="array" aca="1" ref="D38" ca="1">_xll.BDH(A38,"px_last","20250811","20250811")</f>
        <v>#NAME?</v>
      </c>
    </row>
    <row r="39" spans="1:4" x14ac:dyDescent="0.25">
      <c r="A39" s="2" t="s">
        <v>41</v>
      </c>
      <c r="B39" s="2" t="s">
        <v>94</v>
      </c>
      <c r="C39" s="2" t="e">
        <f ca="1">_xll.BDP(A39,"SETTLE_DT", "REFERENCE_DATE=20250811")</f>
        <v>#NAME?</v>
      </c>
      <c r="D39" s="2" t="e" cm="1">
        <f t="array" aca="1" ref="D39" ca="1">_xll.BDH(A39,"px_last","20250811","20250811")</f>
        <v>#NAME?</v>
      </c>
    </row>
    <row r="40" spans="1:4" x14ac:dyDescent="0.25">
      <c r="A40" s="2" t="s">
        <v>46</v>
      </c>
      <c r="B40" s="2" t="s">
        <v>95</v>
      </c>
      <c r="C40" s="2" t="e">
        <f ca="1">_xll.BDP(A40,"SETTLE_DT", "REFERENCE_DATE=20250811")</f>
        <v>#NAME?</v>
      </c>
      <c r="D40" s="2" t="e" cm="1">
        <f t="array" aca="1" ref="D40" ca="1">_xll.BDH(A40,"px_last","20250811","20250811")</f>
        <v>#NAME?</v>
      </c>
    </row>
    <row r="41" spans="1:4" x14ac:dyDescent="0.25">
      <c r="A41" s="2" t="s">
        <v>51</v>
      </c>
      <c r="B41" s="2" t="s">
        <v>96</v>
      </c>
      <c r="C41" s="2" t="e">
        <f ca="1">_xll.BDP(A41,"SETTLE_DT", "REFERENCE_DATE=20250811")</f>
        <v>#NAME?</v>
      </c>
      <c r="D41" s="2" t="e" cm="1">
        <f t="array" aca="1" ref="D41" ca="1">_xll.BDH(A41,"px_last","20250811","20250811")</f>
        <v>#NAME?</v>
      </c>
    </row>
    <row r="42" spans="1:4" x14ac:dyDescent="0.25">
      <c r="A42" s="2" t="s">
        <v>17</v>
      </c>
      <c r="B42" s="2" t="s">
        <v>89</v>
      </c>
      <c r="C42" s="2" t="e">
        <f ca="1">_xll.BDP(A42,"SETTLE_DT", "REFERENCE_DATE=20250811")</f>
        <v>#NAME?</v>
      </c>
      <c r="D42" s="2" t="e" cm="1">
        <f t="array" aca="1" ref="D42" ca="1">_xll.BDH(A42,"px_last","20250811","20250811")</f>
        <v>#NAME?</v>
      </c>
    </row>
    <row r="43" spans="1:4" x14ac:dyDescent="0.25">
      <c r="A43" s="2" t="s">
        <v>22</v>
      </c>
      <c r="B43" s="2" t="s">
        <v>90</v>
      </c>
      <c r="C43" s="2" t="e">
        <f ca="1">_xll.BDP(A43,"SETTLE_DT", "REFERENCE_DATE=20250811")</f>
        <v>#NAME?</v>
      </c>
      <c r="D43" s="2" t="e" cm="1">
        <f t="array" aca="1" ref="D43" ca="1">_xll.BDH(A43,"px_last","20250811","20250811")</f>
        <v>#NAME?</v>
      </c>
    </row>
    <row r="44" spans="1:4" x14ac:dyDescent="0.25">
      <c r="A44" s="2" t="s">
        <v>27</v>
      </c>
      <c r="B44" s="2" t="s">
        <v>91</v>
      </c>
      <c r="C44" s="2" t="e">
        <f ca="1">_xll.BDP(A44,"SETTLE_DT", "REFERENCE_DATE=20250811")</f>
        <v>#NAME?</v>
      </c>
      <c r="D44" s="2" t="e" cm="1">
        <f t="array" aca="1" ref="D44" ca="1">_xll.BDH(A44,"px_last","20250811","20250811")</f>
        <v>#NAME?</v>
      </c>
    </row>
    <row r="45" spans="1:4" x14ac:dyDescent="0.25">
      <c r="A45" s="2" t="s">
        <v>32</v>
      </c>
      <c r="B45" s="2" t="s">
        <v>92</v>
      </c>
      <c r="C45" s="2" t="e">
        <f ca="1">_xll.BDP(A45,"SETTLE_DT", "REFERENCE_DATE=20250811")</f>
        <v>#NAME?</v>
      </c>
      <c r="D45" s="2" t="e" cm="1">
        <f t="array" aca="1" ref="D45" ca="1">_xll.BDH(A45,"px_last","20250811","20250811")</f>
        <v>#NAME?</v>
      </c>
    </row>
    <row r="46" spans="1:4" x14ac:dyDescent="0.25">
      <c r="A46" s="2" t="s">
        <v>37</v>
      </c>
      <c r="B46" s="2" t="s">
        <v>93</v>
      </c>
      <c r="C46" s="2" t="e">
        <f ca="1">_xll.BDP(A46,"SETTLE_DT", "REFERENCE_DATE=20250811")</f>
        <v>#NAME?</v>
      </c>
      <c r="D46" s="2" t="e" cm="1">
        <f t="array" aca="1" ref="D46" ca="1">_xll.BDH(A46,"px_last","20250811","20250811")</f>
        <v>#NAME?</v>
      </c>
    </row>
    <row r="47" spans="1:4" x14ac:dyDescent="0.25">
      <c r="A47" s="2" t="s">
        <v>42</v>
      </c>
      <c r="B47" s="2" t="s">
        <v>94</v>
      </c>
      <c r="C47" s="2" t="e">
        <f ca="1">_xll.BDP(A47,"SETTLE_DT", "REFERENCE_DATE=20250811")</f>
        <v>#NAME?</v>
      </c>
      <c r="D47" s="2" t="e" cm="1">
        <f t="array" aca="1" ref="D47" ca="1">_xll.BDH(A47,"px_last","20250811","20250811")</f>
        <v>#NAME?</v>
      </c>
    </row>
    <row r="48" spans="1:4" x14ac:dyDescent="0.25">
      <c r="A48" s="2" t="s">
        <v>47</v>
      </c>
      <c r="B48" s="2" t="s">
        <v>95</v>
      </c>
      <c r="C48" s="2" t="e">
        <f ca="1">_xll.BDP(A48,"SETTLE_DT", "REFERENCE_DATE=20250811")</f>
        <v>#NAME?</v>
      </c>
      <c r="D48" s="2" t="e" cm="1">
        <f t="array" aca="1" ref="D48" ca="1">_xll.BDH(A48,"px_last","20250811","20250811")</f>
        <v>#NAME?</v>
      </c>
    </row>
    <row r="49" spans="1:4" x14ac:dyDescent="0.25">
      <c r="A49" s="2" t="s">
        <v>52</v>
      </c>
      <c r="B49" s="2" t="s">
        <v>96</v>
      </c>
      <c r="C49" s="2" t="e">
        <f ca="1">_xll.BDP(A49,"SETTLE_DT", "REFERENCE_DATE=20250811")</f>
        <v>#NAME?</v>
      </c>
      <c r="D49" s="2" t="e" cm="1">
        <f t="array" aca="1" ref="D49" ca="1">_xll.BDH(A49,"px_last","20250811","20250811")</f>
        <v>#NAME?</v>
      </c>
    </row>
    <row r="50" spans="1:4" x14ac:dyDescent="0.25">
      <c r="A50" s="2" t="s">
        <v>18</v>
      </c>
      <c r="B50" s="2" t="s">
        <v>89</v>
      </c>
      <c r="C50" s="2" t="e">
        <f ca="1">_xll.BDP(A50,"SETTLE_DT", "REFERENCE_DATE=20250811")</f>
        <v>#NAME?</v>
      </c>
      <c r="D50" s="2" t="e" cm="1">
        <f t="array" aca="1" ref="D50" ca="1">_xll.BDH(A50,"px_last","20250811","20250811")</f>
        <v>#NAME?</v>
      </c>
    </row>
    <row r="51" spans="1:4" x14ac:dyDescent="0.25">
      <c r="A51" s="2" t="s">
        <v>23</v>
      </c>
      <c r="B51" s="2" t="s">
        <v>90</v>
      </c>
      <c r="C51" s="2" t="e">
        <f ca="1">_xll.BDP(A51,"SETTLE_DT", "REFERENCE_DATE=20250811")</f>
        <v>#NAME?</v>
      </c>
      <c r="D51" s="2" t="e" cm="1">
        <f t="array" aca="1" ref="D51" ca="1">_xll.BDH(A51,"px_last","20250811","20250811")</f>
        <v>#NAME?</v>
      </c>
    </row>
    <row r="52" spans="1:4" x14ac:dyDescent="0.25">
      <c r="A52" s="2" t="s">
        <v>28</v>
      </c>
      <c r="B52" s="2" t="s">
        <v>91</v>
      </c>
      <c r="C52" s="2" t="e">
        <f ca="1">_xll.BDP(A52,"SETTLE_DT", "REFERENCE_DATE=20250811")</f>
        <v>#NAME?</v>
      </c>
      <c r="D52" s="2" t="e" cm="1">
        <f t="array" aca="1" ref="D52" ca="1">_xll.BDH(A52,"px_last","20250811","20250811")</f>
        <v>#NAME?</v>
      </c>
    </row>
    <row r="53" spans="1:4" x14ac:dyDescent="0.25">
      <c r="A53" s="2" t="s">
        <v>33</v>
      </c>
      <c r="B53" s="2" t="s">
        <v>92</v>
      </c>
      <c r="C53" s="2" t="e">
        <f ca="1">_xll.BDP(A53,"SETTLE_DT", "REFERENCE_DATE=20250811")</f>
        <v>#NAME?</v>
      </c>
      <c r="D53" s="2" t="e" cm="1">
        <f t="array" aca="1" ref="D53" ca="1">_xll.BDH(A53,"px_last","20250811","20250811")</f>
        <v>#NAME?</v>
      </c>
    </row>
    <row r="54" spans="1:4" x14ac:dyDescent="0.25">
      <c r="A54" s="2" t="s">
        <v>38</v>
      </c>
      <c r="B54" s="2" t="s">
        <v>93</v>
      </c>
      <c r="C54" s="2" t="e">
        <f ca="1">_xll.BDP(A54,"SETTLE_DT", "REFERENCE_DATE=20250811")</f>
        <v>#NAME?</v>
      </c>
      <c r="D54" s="2" t="e" cm="1">
        <f t="array" aca="1" ref="D54" ca="1">_xll.BDH(A54,"px_last","20250811","20250811")</f>
        <v>#NAME?</v>
      </c>
    </row>
    <row r="55" spans="1:4" x14ac:dyDescent="0.25">
      <c r="A55" s="2" t="s">
        <v>43</v>
      </c>
      <c r="B55" s="2" t="s">
        <v>94</v>
      </c>
      <c r="C55" s="2" t="e">
        <f ca="1">_xll.BDP(A55,"SETTLE_DT", "REFERENCE_DATE=20250811")</f>
        <v>#NAME?</v>
      </c>
      <c r="D55" s="2" t="e" cm="1">
        <f t="array" aca="1" ref="D55" ca="1">_xll.BDH(A55,"px_last","20250811","20250811")</f>
        <v>#NAME?</v>
      </c>
    </row>
    <row r="56" spans="1:4" x14ac:dyDescent="0.25">
      <c r="A56" s="2" t="s">
        <v>48</v>
      </c>
      <c r="B56" s="2" t="s">
        <v>95</v>
      </c>
      <c r="C56" s="2" t="e">
        <f ca="1">_xll.BDP(A56,"SETTLE_DT", "REFERENCE_DATE=20250811")</f>
        <v>#NAME?</v>
      </c>
      <c r="D56" s="2" t="e" cm="1">
        <f t="array" aca="1" ref="D56" ca="1">_xll.BDH(A56,"px_last","20250811","20250811")</f>
        <v>#NAME?</v>
      </c>
    </row>
    <row r="57" spans="1:4" x14ac:dyDescent="0.25">
      <c r="A57" s="2" t="s">
        <v>53</v>
      </c>
      <c r="B57" s="2" t="s">
        <v>96</v>
      </c>
      <c r="C57" s="2" t="e">
        <f ca="1">_xll.BDP(A57,"SETTLE_DT", "REFERENCE_DATE=20250811")</f>
        <v>#NAME?</v>
      </c>
      <c r="D57" s="2" t="e" cm="1">
        <f t="array" aca="1" ref="D57" ca="1">_xll.BDH(A57,"px_last","20250811","20250811")</f>
        <v>#NAME?</v>
      </c>
    </row>
    <row r="58" spans="1:4" x14ac:dyDescent="0.25">
      <c r="A58" s="2" t="s">
        <v>130</v>
      </c>
      <c r="B58" s="2" t="s">
        <v>89</v>
      </c>
      <c r="C58" s="2" t="e">
        <f ca="1">_xll.BDP(A58,"SETTLE_DT", "REFERENCE_DATE=20250811")</f>
        <v>#NAME?</v>
      </c>
      <c r="D58" s="2" t="e" cm="1">
        <f t="array" aca="1" ref="D58" ca="1">_xll.BDH(A58,"px_last","20250811","20250811")</f>
        <v>#NAME?</v>
      </c>
    </row>
    <row r="59" spans="1:4" x14ac:dyDescent="0.25">
      <c r="A59" s="2" t="s">
        <v>155</v>
      </c>
      <c r="B59" s="2" t="s">
        <v>90</v>
      </c>
      <c r="C59" s="2" t="e">
        <f ca="1">_xll.BDP(A59,"SETTLE_DT", "REFERENCE_DATE=20250811")</f>
        <v>#NAME?</v>
      </c>
      <c r="D59" s="2" t="e" cm="1">
        <f t="array" aca="1" ref="D59" ca="1">_xll.BDH(A59,"px_last","20250811","20250811")</f>
        <v>#NAME?</v>
      </c>
    </row>
    <row r="60" spans="1:4" x14ac:dyDescent="0.25">
      <c r="A60" s="2" t="s">
        <v>132</v>
      </c>
      <c r="B60" s="2" t="s">
        <v>91</v>
      </c>
      <c r="C60" s="2" t="e">
        <f ca="1">_xll.BDP(A60,"SETTLE_DT", "REFERENCE_DATE=20250811")</f>
        <v>#NAME?</v>
      </c>
      <c r="D60" s="2" t="e" cm="1">
        <f t="array" aca="1" ref="D60" ca="1">_xll.BDH(A60,"px_last","20250811","20250811")</f>
        <v>#NAME?</v>
      </c>
    </row>
    <row r="61" spans="1:4" x14ac:dyDescent="0.25">
      <c r="A61" s="2" t="s">
        <v>134</v>
      </c>
      <c r="B61" s="2" t="s">
        <v>92</v>
      </c>
      <c r="C61" s="2" t="e">
        <f ca="1">_xll.BDP(A61,"SETTLE_DT", "REFERENCE_DATE=20250811")</f>
        <v>#NAME?</v>
      </c>
      <c r="D61" s="2" t="e" cm="1">
        <f t="array" aca="1" ref="D61" ca="1">_xll.BDH(A61,"px_last","20250811","20250811")</f>
        <v>#NAME?</v>
      </c>
    </row>
    <row r="62" spans="1:4" x14ac:dyDescent="0.25">
      <c r="A62" s="2" t="s">
        <v>136</v>
      </c>
      <c r="B62" s="2" t="s">
        <v>93</v>
      </c>
      <c r="C62" s="2" t="e">
        <f ca="1">_xll.BDP(A62,"SETTLE_DT", "REFERENCE_DATE=20250811")</f>
        <v>#NAME?</v>
      </c>
      <c r="D62" s="2" t="e" cm="1">
        <f t="array" aca="1" ref="D62" ca="1">_xll.BDH(A62,"px_last","20250811","20250811")</f>
        <v>#NAME?</v>
      </c>
    </row>
    <row r="63" spans="1:4" x14ac:dyDescent="0.25">
      <c r="A63" s="2" t="s">
        <v>138</v>
      </c>
      <c r="B63" s="2" t="s">
        <v>94</v>
      </c>
      <c r="C63" s="2" t="e">
        <f ca="1">_xll.BDP(A63,"SETTLE_DT", "REFERENCE_DATE=20250811")</f>
        <v>#NAME?</v>
      </c>
      <c r="D63" s="2" t="e" cm="1">
        <f t="array" aca="1" ref="D63" ca="1">_xll.BDH(A63,"px_last","20250811","20250811")</f>
        <v>#NAME?</v>
      </c>
    </row>
    <row r="64" spans="1:4" x14ac:dyDescent="0.25">
      <c r="A64" s="2" t="s">
        <v>140</v>
      </c>
      <c r="B64" s="2" t="s">
        <v>95</v>
      </c>
      <c r="C64" s="2" t="e">
        <f ca="1">_xll.BDP(A64,"SETTLE_DT", "REFERENCE_DATE=20250811")</f>
        <v>#NAME?</v>
      </c>
      <c r="D64" s="2" t="e" cm="1">
        <f t="array" aca="1" ref="D64" ca="1">_xll.BDH(A64,"px_last","20250811","20250811")</f>
        <v>#NAME?</v>
      </c>
    </row>
    <row r="65" spans="1:4" x14ac:dyDescent="0.25">
      <c r="A65" s="2" t="s">
        <v>142</v>
      </c>
      <c r="B65" s="2" t="s">
        <v>96</v>
      </c>
      <c r="C65" s="2" t="e">
        <f ca="1">_xll.BDP(A65,"SETTLE_DT", "REFERENCE_DATE=20250811")</f>
        <v>#NAME?</v>
      </c>
      <c r="D65" s="2" t="e" cm="1">
        <f t="array" aca="1" ref="D65" ca="1">_xll.BDH(A65,"px_last","20250811","20250811")</f>
        <v>#NAME?</v>
      </c>
    </row>
    <row r="66" spans="1:4" x14ac:dyDescent="0.25">
      <c r="A66" s="2" t="s">
        <v>131</v>
      </c>
      <c r="B66" s="2" t="s">
        <v>89</v>
      </c>
      <c r="C66" s="2" t="e">
        <f ca="1">_xll.BDP(A66,"SETTLE_DT", "REFERENCE_DATE=20250811")</f>
        <v>#NAME?</v>
      </c>
      <c r="D66" s="2" t="e" cm="1">
        <f t="array" aca="1" ref="D66" ca="1">_xll.BDH(A66,"px_last","20250811","20250811")</f>
        <v>#NAME?</v>
      </c>
    </row>
    <row r="67" spans="1:4" x14ac:dyDescent="0.25">
      <c r="A67" s="2" t="s">
        <v>154</v>
      </c>
      <c r="B67" s="2" t="s">
        <v>90</v>
      </c>
      <c r="C67" s="2" t="e">
        <f ca="1">_xll.BDP(A67,"SETTLE_DT", "REFERENCE_DATE=20250811")</f>
        <v>#NAME?</v>
      </c>
      <c r="D67" s="2" t="e" cm="1">
        <f t="array" aca="1" ref="D67" ca="1">_xll.BDH(A67,"px_last","20250811","20250811")</f>
        <v>#NAME?</v>
      </c>
    </row>
    <row r="68" spans="1:4" x14ac:dyDescent="0.25">
      <c r="A68" s="2" t="s">
        <v>133</v>
      </c>
      <c r="B68" s="2" t="s">
        <v>91</v>
      </c>
      <c r="C68" s="2" t="e">
        <f ca="1">_xll.BDP(A68,"SETTLE_DT", "REFERENCE_DATE=20250811")</f>
        <v>#NAME?</v>
      </c>
      <c r="D68" s="2" t="e" cm="1">
        <f t="array" aca="1" ref="D68" ca="1">_xll.BDH(A68,"px_last","20250811","20250811")</f>
        <v>#NAME?</v>
      </c>
    </row>
    <row r="69" spans="1:4" x14ac:dyDescent="0.25">
      <c r="A69" s="2" t="s">
        <v>135</v>
      </c>
      <c r="B69" s="2" t="s">
        <v>92</v>
      </c>
      <c r="C69" s="2" t="e">
        <f ca="1">_xll.BDP(A69,"SETTLE_DT", "REFERENCE_DATE=20250811")</f>
        <v>#NAME?</v>
      </c>
      <c r="D69" s="2" t="e" cm="1">
        <f t="array" aca="1" ref="D69" ca="1">_xll.BDH(A69,"px_last","20250811","20250811")</f>
        <v>#NAME?</v>
      </c>
    </row>
    <row r="70" spans="1:4" x14ac:dyDescent="0.25">
      <c r="A70" s="2" t="s">
        <v>137</v>
      </c>
      <c r="B70" s="2" t="s">
        <v>93</v>
      </c>
      <c r="C70" s="2" t="e">
        <f ca="1">_xll.BDP(A70,"SETTLE_DT", "REFERENCE_DATE=20250811")</f>
        <v>#NAME?</v>
      </c>
      <c r="D70" s="2" t="e" cm="1">
        <f t="array" aca="1" ref="D70" ca="1">_xll.BDH(A70,"px_last","20250811","20250811")</f>
        <v>#NAME?</v>
      </c>
    </row>
    <row r="71" spans="1:4" x14ac:dyDescent="0.25">
      <c r="A71" s="2" t="s">
        <v>139</v>
      </c>
      <c r="B71" s="2" t="s">
        <v>94</v>
      </c>
      <c r="C71" s="2" t="e">
        <f ca="1">_xll.BDP(A71,"SETTLE_DT", "REFERENCE_DATE=20250811")</f>
        <v>#NAME?</v>
      </c>
      <c r="D71" s="2" t="e" cm="1">
        <f t="array" aca="1" ref="D71" ca="1">_xll.BDH(A71,"px_last","20250811","20250811")</f>
        <v>#NAME?</v>
      </c>
    </row>
    <row r="72" spans="1:4" x14ac:dyDescent="0.25">
      <c r="A72" s="2" t="s">
        <v>141</v>
      </c>
      <c r="B72" s="2" t="s">
        <v>95</v>
      </c>
      <c r="C72" s="2" t="e">
        <f ca="1">_xll.BDP(A72,"SETTLE_DT", "REFERENCE_DATE=20250811")</f>
        <v>#NAME?</v>
      </c>
      <c r="D72" s="2" t="e" cm="1">
        <f t="array" aca="1" ref="D72" ca="1">_xll.BDH(A72,"px_last","20250811","20250811")</f>
        <v>#NAME?</v>
      </c>
    </row>
    <row r="73" spans="1:4" x14ac:dyDescent="0.25">
      <c r="A73" s="2" t="s">
        <v>143</v>
      </c>
      <c r="B73" s="2" t="s">
        <v>96</v>
      </c>
      <c r="C73" s="2" t="e">
        <f ca="1">_xll.BDP(A73,"SETTLE_DT", "REFERENCE_DATE=20250811")</f>
        <v>#NAME?</v>
      </c>
      <c r="D73" s="2" t="e" cm="1">
        <f t="array" aca="1" ref="D73" ca="1">_xll.BDH(A73,"px_last","20250811","20250811")</f>
        <v>#NAME?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D43D-2429-41FB-8435-AF7A77FD9024}">
  <dimension ref="A1:E73"/>
  <sheetViews>
    <sheetView topLeftCell="A9" workbookViewId="0">
      <selection activeCell="E2" sqref="E2:E73"/>
    </sheetView>
  </sheetViews>
  <sheetFormatPr defaultRowHeight="12.5" x14ac:dyDescent="0.25"/>
  <cols>
    <col min="1" max="1" width="27.81640625" bestFit="1" customWidth="1"/>
    <col min="2" max="2" width="9.81640625" bestFit="1" customWidth="1"/>
    <col min="3" max="3" width="5.54296875" bestFit="1" customWidth="1"/>
    <col min="4" max="4" width="10.453125" bestFit="1" customWidth="1"/>
    <col min="5" max="5" width="7.36328125" bestFit="1" customWidth="1"/>
    <col min="7" max="7" width="8.453125" customWidth="1"/>
  </cols>
  <sheetData>
    <row r="1" spans="1:5" x14ac:dyDescent="0.25">
      <c r="A1" s="2" t="s">
        <v>153</v>
      </c>
      <c r="B1" s="2" t="s">
        <v>152</v>
      </c>
      <c r="C1" s="2" t="s">
        <v>88</v>
      </c>
      <c r="D1" s="6" t="s">
        <v>150</v>
      </c>
      <c r="E1" s="2" t="s">
        <v>151</v>
      </c>
    </row>
    <row r="2" spans="1:5" x14ac:dyDescent="0.25">
      <c r="A2" s="2" t="s">
        <v>14</v>
      </c>
      <c r="B2" s="1" t="s">
        <v>105</v>
      </c>
      <c r="C2" s="2" t="s">
        <v>1</v>
      </c>
      <c r="D2" s="6" t="s">
        <v>97</v>
      </c>
      <c r="E2" s="2">
        <v>14.205</v>
      </c>
    </row>
    <row r="3" spans="1:5" x14ac:dyDescent="0.25">
      <c r="A3" s="2" t="s">
        <v>19</v>
      </c>
      <c r="B3" s="1" t="s">
        <v>105</v>
      </c>
      <c r="C3" s="2" t="s">
        <v>2</v>
      </c>
      <c r="D3" s="6" t="s">
        <v>98</v>
      </c>
      <c r="E3" s="2">
        <v>14.84</v>
      </c>
    </row>
    <row r="4" spans="1:5" x14ac:dyDescent="0.25">
      <c r="A4" s="2" t="s">
        <v>24</v>
      </c>
      <c r="B4" s="1" t="s">
        <v>105</v>
      </c>
      <c r="C4" s="2" t="s">
        <v>3</v>
      </c>
      <c r="D4" s="6" t="s">
        <v>99</v>
      </c>
      <c r="E4" s="2">
        <v>15.07</v>
      </c>
    </row>
    <row r="5" spans="1:5" x14ac:dyDescent="0.25">
      <c r="A5" s="2" t="s">
        <v>29</v>
      </c>
      <c r="B5" s="1" t="s">
        <v>105</v>
      </c>
      <c r="C5" s="2" t="s">
        <v>4</v>
      </c>
      <c r="D5" s="6" t="s">
        <v>100</v>
      </c>
      <c r="E5" s="2">
        <v>15.29</v>
      </c>
    </row>
    <row r="6" spans="1:5" x14ac:dyDescent="0.25">
      <c r="A6" s="2" t="s">
        <v>34</v>
      </c>
      <c r="B6" s="1" t="s">
        <v>105</v>
      </c>
      <c r="C6" s="2" t="s">
        <v>5</v>
      </c>
      <c r="D6" s="6" t="s">
        <v>101</v>
      </c>
      <c r="E6" s="2">
        <v>15.574999999999999</v>
      </c>
    </row>
    <row r="7" spans="1:5" x14ac:dyDescent="0.25">
      <c r="A7" s="2" t="s">
        <v>39</v>
      </c>
      <c r="B7" s="1" t="s">
        <v>105</v>
      </c>
      <c r="C7" s="2" t="s">
        <v>6</v>
      </c>
      <c r="D7" s="6" t="s">
        <v>102</v>
      </c>
      <c r="E7" s="2">
        <v>15.865</v>
      </c>
    </row>
    <row r="8" spans="1:5" x14ac:dyDescent="0.25">
      <c r="A8" s="2" t="s">
        <v>44</v>
      </c>
      <c r="B8" s="1" t="s">
        <v>105</v>
      </c>
      <c r="C8" s="2" t="s">
        <v>7</v>
      </c>
      <c r="D8" s="6" t="s">
        <v>103</v>
      </c>
      <c r="E8" s="2">
        <v>16.535</v>
      </c>
    </row>
    <row r="9" spans="1:5" x14ac:dyDescent="0.25">
      <c r="A9" s="2" t="s">
        <v>49</v>
      </c>
      <c r="B9" s="1" t="s">
        <v>105</v>
      </c>
      <c r="C9" s="2" t="s">
        <v>8</v>
      </c>
      <c r="D9" s="6" t="s">
        <v>104</v>
      </c>
      <c r="E9" s="2">
        <v>16.885000000000002</v>
      </c>
    </row>
    <row r="10" spans="1:5" x14ac:dyDescent="0.25">
      <c r="A10" s="2" t="s">
        <v>54</v>
      </c>
      <c r="B10" s="1" t="s">
        <v>107</v>
      </c>
      <c r="C10" s="2" t="s">
        <v>1</v>
      </c>
      <c r="D10" s="6" t="s">
        <v>97</v>
      </c>
      <c r="E10" s="2">
        <v>0.52249999999999996</v>
      </c>
    </row>
    <row r="11" spans="1:5" x14ac:dyDescent="0.25">
      <c r="A11" s="2" t="s">
        <v>56</v>
      </c>
      <c r="B11" s="1" t="s">
        <v>107</v>
      </c>
      <c r="C11" s="2" t="s">
        <v>2</v>
      </c>
      <c r="D11" s="6" t="s">
        <v>98</v>
      </c>
      <c r="E11" s="2">
        <v>0.64</v>
      </c>
    </row>
    <row r="12" spans="1:5" x14ac:dyDescent="0.25">
      <c r="A12" s="2" t="s">
        <v>58</v>
      </c>
      <c r="B12" s="1" t="s">
        <v>106</v>
      </c>
      <c r="C12" s="2" t="s">
        <v>3</v>
      </c>
      <c r="D12" s="6" t="s">
        <v>99</v>
      </c>
      <c r="E12" s="2">
        <v>0.76749999999999996</v>
      </c>
    </row>
    <row r="13" spans="1:5" x14ac:dyDescent="0.25">
      <c r="A13" s="2" t="s">
        <v>60</v>
      </c>
      <c r="B13" s="1" t="s">
        <v>106</v>
      </c>
      <c r="C13" s="2" t="s">
        <v>4</v>
      </c>
      <c r="D13" s="6" t="s">
        <v>100</v>
      </c>
      <c r="E13" s="2">
        <v>0.91</v>
      </c>
    </row>
    <row r="14" spans="1:5" x14ac:dyDescent="0.25">
      <c r="A14" s="2" t="s">
        <v>62</v>
      </c>
      <c r="B14" s="1" t="s">
        <v>106</v>
      </c>
      <c r="C14" s="2" t="s">
        <v>5</v>
      </c>
      <c r="D14" s="6" t="s">
        <v>101</v>
      </c>
      <c r="E14" s="2">
        <v>1.0024999999999999</v>
      </c>
    </row>
    <row r="15" spans="1:5" x14ac:dyDescent="0.25">
      <c r="A15" s="2" t="s">
        <v>64</v>
      </c>
      <c r="B15" s="1" t="s">
        <v>106</v>
      </c>
      <c r="C15" s="2" t="s">
        <v>6</v>
      </c>
      <c r="D15" s="6" t="s">
        <v>102</v>
      </c>
      <c r="E15" s="2">
        <v>1.06</v>
      </c>
    </row>
    <row r="16" spans="1:5" x14ac:dyDescent="0.25">
      <c r="A16" s="2" t="s">
        <v>66</v>
      </c>
      <c r="B16" s="1" t="s">
        <v>106</v>
      </c>
      <c r="C16" s="2" t="s">
        <v>7</v>
      </c>
      <c r="D16" s="6" t="s">
        <v>103</v>
      </c>
      <c r="E16" s="2">
        <v>1.03</v>
      </c>
    </row>
    <row r="17" spans="1:5" x14ac:dyDescent="0.25">
      <c r="A17" s="2" t="s">
        <v>68</v>
      </c>
      <c r="B17" s="1" t="s">
        <v>106</v>
      </c>
      <c r="C17" s="2" t="s">
        <v>8</v>
      </c>
      <c r="D17" s="6" t="s">
        <v>104</v>
      </c>
      <c r="E17" s="2">
        <v>1.0425</v>
      </c>
    </row>
    <row r="18" spans="1:5" x14ac:dyDescent="0.25">
      <c r="A18" s="2" t="s">
        <v>70</v>
      </c>
      <c r="B18" s="1" t="s">
        <v>111</v>
      </c>
      <c r="C18" s="2" t="s">
        <v>1</v>
      </c>
      <c r="D18" s="6" t="s">
        <v>97</v>
      </c>
      <c r="E18" s="2">
        <v>7.4999999999999997E-2</v>
      </c>
    </row>
    <row r="19" spans="1:5" x14ac:dyDescent="0.25">
      <c r="A19" s="2" t="s">
        <v>72</v>
      </c>
      <c r="B19" s="1" t="s">
        <v>111</v>
      </c>
      <c r="C19" s="2" t="s">
        <v>2</v>
      </c>
      <c r="D19" s="6" t="s">
        <v>98</v>
      </c>
      <c r="E19" s="2">
        <v>0.1</v>
      </c>
    </row>
    <row r="20" spans="1:5" x14ac:dyDescent="0.25">
      <c r="A20" s="2" t="s">
        <v>74</v>
      </c>
      <c r="B20" s="1" t="s">
        <v>110</v>
      </c>
      <c r="C20" s="2" t="s">
        <v>3</v>
      </c>
      <c r="D20" s="6" t="s">
        <v>99</v>
      </c>
      <c r="E20" s="2">
        <v>0.125</v>
      </c>
    </row>
    <row r="21" spans="1:5" x14ac:dyDescent="0.25">
      <c r="A21" s="2" t="s">
        <v>76</v>
      </c>
      <c r="B21" s="1" t="s">
        <v>110</v>
      </c>
      <c r="C21" s="2" t="s">
        <v>4</v>
      </c>
      <c r="D21" s="6" t="s">
        <v>100</v>
      </c>
      <c r="E21" s="2">
        <v>0.16</v>
      </c>
    </row>
    <row r="22" spans="1:5" x14ac:dyDescent="0.25">
      <c r="A22" s="2" t="s">
        <v>78</v>
      </c>
      <c r="B22" s="1" t="s">
        <v>110</v>
      </c>
      <c r="C22" s="2" t="s">
        <v>5</v>
      </c>
      <c r="D22" s="6" t="s">
        <v>101</v>
      </c>
      <c r="E22" s="2">
        <v>0.185</v>
      </c>
    </row>
    <row r="23" spans="1:5" x14ac:dyDescent="0.25">
      <c r="A23" s="2" t="s">
        <v>80</v>
      </c>
      <c r="B23" s="1" t="s">
        <v>110</v>
      </c>
      <c r="C23" s="2" t="s">
        <v>6</v>
      </c>
      <c r="D23" s="6" t="s">
        <v>102</v>
      </c>
      <c r="E23" s="2">
        <v>0.21</v>
      </c>
    </row>
    <row r="24" spans="1:5" x14ac:dyDescent="0.25">
      <c r="A24" s="2" t="s">
        <v>82</v>
      </c>
      <c r="B24" s="1" t="s">
        <v>110</v>
      </c>
      <c r="C24" s="2" t="s">
        <v>7</v>
      </c>
      <c r="D24" s="6" t="s">
        <v>103</v>
      </c>
      <c r="E24" s="2">
        <v>0.23749999999999999</v>
      </c>
    </row>
    <row r="25" spans="1:5" x14ac:dyDescent="0.25">
      <c r="A25" s="2" t="s">
        <v>84</v>
      </c>
      <c r="B25" s="1" t="s">
        <v>110</v>
      </c>
      <c r="C25" s="2" t="s">
        <v>8</v>
      </c>
      <c r="D25" s="6" t="s">
        <v>104</v>
      </c>
      <c r="E25" s="2">
        <v>0.25</v>
      </c>
    </row>
    <row r="26" spans="1:5" x14ac:dyDescent="0.25">
      <c r="A26" s="2" t="s">
        <v>15</v>
      </c>
      <c r="B26" s="1" t="s">
        <v>112</v>
      </c>
      <c r="C26" s="2" t="s">
        <v>1</v>
      </c>
      <c r="D26" s="6" t="s">
        <v>97</v>
      </c>
      <c r="E26" s="2">
        <v>0.89249999999999996</v>
      </c>
    </row>
    <row r="27" spans="1:5" x14ac:dyDescent="0.25">
      <c r="A27" s="2" t="s">
        <v>20</v>
      </c>
      <c r="B27" s="1" t="s">
        <v>112</v>
      </c>
      <c r="C27" s="2" t="s">
        <v>2</v>
      </c>
      <c r="D27" s="6" t="s">
        <v>98</v>
      </c>
      <c r="E27" s="2">
        <v>1.095</v>
      </c>
    </row>
    <row r="28" spans="1:5" x14ac:dyDescent="0.25">
      <c r="A28" s="2" t="s">
        <v>25</v>
      </c>
      <c r="B28" s="1" t="s">
        <v>108</v>
      </c>
      <c r="C28" s="2" t="s">
        <v>3</v>
      </c>
      <c r="D28" s="6" t="s">
        <v>99</v>
      </c>
      <c r="E28" s="2">
        <v>1.3174999999999999</v>
      </c>
    </row>
    <row r="29" spans="1:5" x14ac:dyDescent="0.25">
      <c r="A29" s="2" t="s">
        <v>30</v>
      </c>
      <c r="B29" s="1" t="s">
        <v>108</v>
      </c>
      <c r="C29" s="2" t="s">
        <v>4</v>
      </c>
      <c r="D29" s="6" t="s">
        <v>100</v>
      </c>
      <c r="E29" s="2">
        <v>1.5725</v>
      </c>
    </row>
    <row r="30" spans="1:5" x14ac:dyDescent="0.25">
      <c r="A30" s="2" t="s">
        <v>35</v>
      </c>
      <c r="B30" s="1" t="s">
        <v>108</v>
      </c>
      <c r="C30" s="2" t="s">
        <v>5</v>
      </c>
      <c r="D30" s="6" t="s">
        <v>101</v>
      </c>
      <c r="E30" s="2">
        <v>1.7475000000000001</v>
      </c>
    </row>
    <row r="31" spans="1:5" x14ac:dyDescent="0.25">
      <c r="A31" s="2" t="s">
        <v>40</v>
      </c>
      <c r="B31" s="1" t="s">
        <v>108</v>
      </c>
      <c r="C31" s="2" t="s">
        <v>6</v>
      </c>
      <c r="D31" s="6" t="s">
        <v>102</v>
      </c>
      <c r="E31" s="2">
        <v>1.88</v>
      </c>
    </row>
    <row r="32" spans="1:5" x14ac:dyDescent="0.25">
      <c r="A32" s="2" t="s">
        <v>45</v>
      </c>
      <c r="B32" s="1" t="s">
        <v>108</v>
      </c>
      <c r="C32" s="2" t="s">
        <v>7</v>
      </c>
      <c r="D32" s="6" t="s">
        <v>103</v>
      </c>
      <c r="E32" s="2">
        <v>1.8525</v>
      </c>
    </row>
    <row r="33" spans="1:5" x14ac:dyDescent="0.25">
      <c r="A33" s="2" t="s">
        <v>50</v>
      </c>
      <c r="B33" s="1" t="s">
        <v>108</v>
      </c>
      <c r="C33" s="2" t="s">
        <v>8</v>
      </c>
      <c r="D33" s="6" t="s">
        <v>104</v>
      </c>
      <c r="E33" s="2">
        <v>1.88</v>
      </c>
    </row>
    <row r="34" spans="1:5" x14ac:dyDescent="0.25">
      <c r="A34" s="2" t="s">
        <v>16</v>
      </c>
      <c r="B34" s="1" t="s">
        <v>114</v>
      </c>
      <c r="C34" s="2" t="s">
        <v>1</v>
      </c>
      <c r="D34" s="6" t="s">
        <v>97</v>
      </c>
      <c r="E34" s="2">
        <v>0.2525</v>
      </c>
    </row>
    <row r="35" spans="1:5" x14ac:dyDescent="0.25">
      <c r="A35" s="2" t="s">
        <v>21</v>
      </c>
      <c r="B35" s="1" t="s">
        <v>114</v>
      </c>
      <c r="C35" s="2" t="s">
        <v>2</v>
      </c>
      <c r="D35" s="6" t="s">
        <v>98</v>
      </c>
      <c r="E35" s="2">
        <v>0.315</v>
      </c>
    </row>
    <row r="36" spans="1:5" x14ac:dyDescent="0.25">
      <c r="A36" s="2" t="s">
        <v>26</v>
      </c>
      <c r="B36" s="1" t="s">
        <v>113</v>
      </c>
      <c r="C36" s="2" t="s">
        <v>3</v>
      </c>
      <c r="D36" s="6" t="s">
        <v>99</v>
      </c>
      <c r="E36" s="2">
        <v>0.39500000000000002</v>
      </c>
    </row>
    <row r="37" spans="1:5" x14ac:dyDescent="0.25">
      <c r="A37" s="2" t="s">
        <v>31</v>
      </c>
      <c r="B37" s="1" t="s">
        <v>113</v>
      </c>
      <c r="C37" s="2" t="s">
        <v>4</v>
      </c>
      <c r="D37" s="6" t="s">
        <v>100</v>
      </c>
      <c r="E37" s="2">
        <v>0.495</v>
      </c>
    </row>
    <row r="38" spans="1:5" x14ac:dyDescent="0.25">
      <c r="A38" s="2" t="s">
        <v>36</v>
      </c>
      <c r="B38" s="1" t="s">
        <v>113</v>
      </c>
      <c r="C38" s="2" t="s">
        <v>5</v>
      </c>
      <c r="D38" s="6" t="s">
        <v>101</v>
      </c>
      <c r="E38" s="2">
        <v>0.56999999999999995</v>
      </c>
    </row>
    <row r="39" spans="1:5" x14ac:dyDescent="0.25">
      <c r="A39" s="2" t="s">
        <v>41</v>
      </c>
      <c r="B39" s="1" t="s">
        <v>113</v>
      </c>
      <c r="C39" s="2" t="s">
        <v>6</v>
      </c>
      <c r="D39" s="6" t="s">
        <v>102</v>
      </c>
      <c r="E39" s="2">
        <v>0.64500000000000002</v>
      </c>
    </row>
    <row r="40" spans="1:5" x14ac:dyDescent="0.25">
      <c r="A40" s="2" t="s">
        <v>46</v>
      </c>
      <c r="B40" s="1" t="s">
        <v>113</v>
      </c>
      <c r="C40" s="2" t="s">
        <v>7</v>
      </c>
      <c r="D40" s="6" t="s">
        <v>103</v>
      </c>
      <c r="E40" s="2">
        <v>0.71750000000000003</v>
      </c>
    </row>
    <row r="41" spans="1:5" x14ac:dyDescent="0.25">
      <c r="A41" s="2" t="s">
        <v>51</v>
      </c>
      <c r="B41" s="1" t="s">
        <v>113</v>
      </c>
      <c r="C41" s="2" t="s">
        <v>8</v>
      </c>
      <c r="D41" s="6" t="s">
        <v>104</v>
      </c>
      <c r="E41" s="2">
        <v>0.75</v>
      </c>
    </row>
    <row r="42" spans="1:5" x14ac:dyDescent="0.25">
      <c r="A42" s="2" t="s">
        <v>17</v>
      </c>
      <c r="B42" s="1" t="s">
        <v>115</v>
      </c>
      <c r="C42" s="2" t="s">
        <v>1</v>
      </c>
      <c r="D42" s="6" t="s">
        <v>97</v>
      </c>
      <c r="E42" s="2">
        <v>1.3075000000000001</v>
      </c>
    </row>
    <row r="43" spans="1:5" x14ac:dyDescent="0.25">
      <c r="A43" s="2" t="s">
        <v>22</v>
      </c>
      <c r="B43" s="1" t="s">
        <v>115</v>
      </c>
      <c r="C43" s="2" t="s">
        <v>2</v>
      </c>
      <c r="D43" s="6" t="s">
        <v>98</v>
      </c>
      <c r="E43" s="2">
        <v>1.595</v>
      </c>
    </row>
    <row r="44" spans="1:5" x14ac:dyDescent="0.25">
      <c r="A44" s="2" t="s">
        <v>27</v>
      </c>
      <c r="B44" s="1" t="s">
        <v>109</v>
      </c>
      <c r="C44" s="2" t="s">
        <v>3</v>
      </c>
      <c r="D44" s="6" t="s">
        <v>99</v>
      </c>
      <c r="E44" s="2">
        <v>1.9350000000000001</v>
      </c>
    </row>
    <row r="45" spans="1:5" x14ac:dyDescent="0.25">
      <c r="A45" s="2" t="s">
        <v>32</v>
      </c>
      <c r="B45" s="1" t="s">
        <v>109</v>
      </c>
      <c r="C45" s="2" t="s">
        <v>4</v>
      </c>
      <c r="D45" s="6" t="s">
        <v>100</v>
      </c>
      <c r="E45" s="2">
        <v>2.3224999999999998</v>
      </c>
    </row>
    <row r="46" spans="1:5" x14ac:dyDescent="0.25">
      <c r="A46" s="2" t="s">
        <v>37</v>
      </c>
      <c r="B46" s="1" t="s">
        <v>109</v>
      </c>
      <c r="C46" s="2" t="s">
        <v>5</v>
      </c>
      <c r="D46" s="6" t="s">
        <v>101</v>
      </c>
      <c r="E46" s="2">
        <v>2.65</v>
      </c>
    </row>
    <row r="47" spans="1:5" x14ac:dyDescent="0.25">
      <c r="A47" s="2" t="s">
        <v>42</v>
      </c>
      <c r="B47" s="1" t="s">
        <v>109</v>
      </c>
      <c r="C47" s="2" t="s">
        <v>6</v>
      </c>
      <c r="D47" s="6" t="s">
        <v>102</v>
      </c>
      <c r="E47" s="2">
        <v>2.9224999999999999</v>
      </c>
    </row>
    <row r="48" spans="1:5" x14ac:dyDescent="0.25">
      <c r="A48" s="2" t="s">
        <v>47</v>
      </c>
      <c r="B48" s="1" t="s">
        <v>109</v>
      </c>
      <c r="C48" s="2" t="s">
        <v>7</v>
      </c>
      <c r="D48" s="6" t="s">
        <v>103</v>
      </c>
      <c r="E48" s="2">
        <v>2.9474999999999998</v>
      </c>
    </row>
    <row r="49" spans="1:5" x14ac:dyDescent="0.25">
      <c r="A49" s="2" t="s">
        <v>52</v>
      </c>
      <c r="B49" s="1" t="s">
        <v>109</v>
      </c>
      <c r="C49" s="2" t="s">
        <v>8</v>
      </c>
      <c r="D49" s="6" t="s">
        <v>104</v>
      </c>
      <c r="E49" s="2">
        <v>3.01</v>
      </c>
    </row>
    <row r="50" spans="1:5" x14ac:dyDescent="0.25">
      <c r="A50" s="2" t="s">
        <v>18</v>
      </c>
      <c r="B50" s="1" t="s">
        <v>117</v>
      </c>
      <c r="C50" s="2" t="s">
        <v>1</v>
      </c>
      <c r="D50" s="6" t="s">
        <v>97</v>
      </c>
      <c r="E50" s="2">
        <v>0.62749999999999995</v>
      </c>
    </row>
    <row r="51" spans="1:5" x14ac:dyDescent="0.25">
      <c r="A51" s="2" t="s">
        <v>23</v>
      </c>
      <c r="B51" s="1" t="s">
        <v>117</v>
      </c>
      <c r="C51" s="2" t="s">
        <v>2</v>
      </c>
      <c r="D51" s="6" t="s">
        <v>98</v>
      </c>
      <c r="E51" s="2">
        <v>0.73</v>
      </c>
    </row>
    <row r="52" spans="1:5" x14ac:dyDescent="0.25">
      <c r="A52" s="2" t="s">
        <v>28</v>
      </c>
      <c r="B52" s="1" t="s">
        <v>116</v>
      </c>
      <c r="C52" s="2" t="s">
        <v>3</v>
      </c>
      <c r="D52" s="6" t="s">
        <v>99</v>
      </c>
      <c r="E52" s="2">
        <v>0.92</v>
      </c>
    </row>
    <row r="53" spans="1:5" x14ac:dyDescent="0.25">
      <c r="A53" s="2" t="s">
        <v>33</v>
      </c>
      <c r="B53" s="1" t="s">
        <v>116</v>
      </c>
      <c r="C53" s="2" t="s">
        <v>4</v>
      </c>
      <c r="D53" s="6" t="s">
        <v>100</v>
      </c>
      <c r="E53" s="2">
        <v>1.135</v>
      </c>
    </row>
    <row r="54" spans="1:5" x14ac:dyDescent="0.25">
      <c r="A54" s="2" t="s">
        <v>38</v>
      </c>
      <c r="B54" s="1" t="s">
        <v>116</v>
      </c>
      <c r="C54" s="2" t="s">
        <v>5</v>
      </c>
      <c r="D54" s="6" t="s">
        <v>101</v>
      </c>
      <c r="E54" s="2">
        <v>1.33</v>
      </c>
    </row>
    <row r="55" spans="1:5" x14ac:dyDescent="0.25">
      <c r="A55" s="2" t="s">
        <v>43</v>
      </c>
      <c r="B55" s="1" t="s">
        <v>116</v>
      </c>
      <c r="C55" s="2" t="s">
        <v>6</v>
      </c>
      <c r="D55" s="6" t="s">
        <v>102</v>
      </c>
      <c r="E55" s="2">
        <v>1.4675</v>
      </c>
    </row>
    <row r="56" spans="1:5" x14ac:dyDescent="0.25">
      <c r="A56" s="2" t="s">
        <v>48</v>
      </c>
      <c r="B56" s="1" t="s">
        <v>116</v>
      </c>
      <c r="C56" s="2" t="s">
        <v>7</v>
      </c>
      <c r="D56" s="6" t="s">
        <v>103</v>
      </c>
      <c r="E56" s="2">
        <v>1.6174999999999999</v>
      </c>
    </row>
    <row r="57" spans="1:5" x14ac:dyDescent="0.25">
      <c r="A57" s="2" t="s">
        <v>53</v>
      </c>
      <c r="B57" s="1" t="s">
        <v>116</v>
      </c>
      <c r="C57" s="2" t="s">
        <v>8</v>
      </c>
      <c r="D57" s="6" t="s">
        <v>104</v>
      </c>
      <c r="E57" s="2">
        <v>1.6725000000000001</v>
      </c>
    </row>
    <row r="58" spans="1:5" x14ac:dyDescent="0.25">
      <c r="A58" s="2" t="s">
        <v>130</v>
      </c>
      <c r="B58" s="1" t="s">
        <v>145</v>
      </c>
      <c r="C58" s="2" t="s">
        <v>1</v>
      </c>
      <c r="D58" s="6" t="s">
        <v>97</v>
      </c>
      <c r="E58" s="2">
        <v>1.5449999999999999</v>
      </c>
    </row>
    <row r="59" spans="1:5" x14ac:dyDescent="0.25">
      <c r="A59" s="2" t="s">
        <v>155</v>
      </c>
      <c r="B59" s="1" t="s">
        <v>145</v>
      </c>
      <c r="C59" s="2" t="s">
        <v>2</v>
      </c>
      <c r="D59" s="6" t="s">
        <v>98</v>
      </c>
      <c r="E59" s="2">
        <v>1.885</v>
      </c>
    </row>
    <row r="60" spans="1:5" x14ac:dyDescent="0.25">
      <c r="A60" s="2" t="s">
        <v>132</v>
      </c>
      <c r="B60" s="1" t="s">
        <v>144</v>
      </c>
      <c r="C60" s="2" t="s">
        <v>3</v>
      </c>
      <c r="D60" s="6" t="s">
        <v>99</v>
      </c>
      <c r="E60" s="2">
        <v>2.2875000000000001</v>
      </c>
    </row>
    <row r="61" spans="1:5" x14ac:dyDescent="0.25">
      <c r="A61" s="2" t="s">
        <v>134</v>
      </c>
      <c r="B61" s="1" t="s">
        <v>144</v>
      </c>
      <c r="C61" s="2" t="s">
        <v>4</v>
      </c>
      <c r="D61" s="6" t="s">
        <v>100</v>
      </c>
      <c r="E61" s="2">
        <v>2.7475000000000001</v>
      </c>
    </row>
    <row r="62" spans="1:5" x14ac:dyDescent="0.25">
      <c r="A62" s="2" t="s">
        <v>136</v>
      </c>
      <c r="B62" s="1" t="s">
        <v>144</v>
      </c>
      <c r="C62" s="2" t="s">
        <v>5</v>
      </c>
      <c r="D62" s="6" t="s">
        <v>101</v>
      </c>
      <c r="E62" s="2">
        <v>3.18</v>
      </c>
    </row>
    <row r="63" spans="1:5" x14ac:dyDescent="0.25">
      <c r="A63" s="2" t="s">
        <v>138</v>
      </c>
      <c r="B63" s="1" t="s">
        <v>144</v>
      </c>
      <c r="C63" s="2" t="s">
        <v>6</v>
      </c>
      <c r="D63" s="6" t="s">
        <v>102</v>
      </c>
      <c r="E63" s="2">
        <v>3.55</v>
      </c>
    </row>
    <row r="64" spans="1:5" x14ac:dyDescent="0.25">
      <c r="A64" s="2" t="s">
        <v>140</v>
      </c>
      <c r="B64" s="1" t="s">
        <v>144</v>
      </c>
      <c r="C64" s="2" t="s">
        <v>7</v>
      </c>
      <c r="D64" s="6" t="s">
        <v>103</v>
      </c>
      <c r="E64" s="2">
        <v>3.62</v>
      </c>
    </row>
    <row r="65" spans="1:5" x14ac:dyDescent="0.25">
      <c r="A65" s="2" t="s">
        <v>142</v>
      </c>
      <c r="B65" s="1" t="s">
        <v>144</v>
      </c>
      <c r="C65" s="2" t="s">
        <v>8</v>
      </c>
      <c r="D65" s="6" t="s">
        <v>104</v>
      </c>
      <c r="E65" s="2">
        <v>3.71</v>
      </c>
    </row>
    <row r="66" spans="1:5" x14ac:dyDescent="0.25">
      <c r="A66" s="2" t="s">
        <v>131</v>
      </c>
      <c r="B66" s="1" t="s">
        <v>147</v>
      </c>
      <c r="C66" s="2" t="s">
        <v>1</v>
      </c>
      <c r="D66" s="6" t="s">
        <v>97</v>
      </c>
      <c r="E66" s="2">
        <v>0.92749999999999999</v>
      </c>
    </row>
    <row r="67" spans="1:5" x14ac:dyDescent="0.25">
      <c r="A67" s="2" t="s">
        <v>154</v>
      </c>
      <c r="B67" s="1" t="s">
        <v>147</v>
      </c>
      <c r="C67" s="2" t="s">
        <v>2</v>
      </c>
      <c r="D67" s="6" t="s">
        <v>98</v>
      </c>
      <c r="E67" s="2">
        <v>1.05</v>
      </c>
    </row>
    <row r="68" spans="1:5" x14ac:dyDescent="0.25">
      <c r="A68" s="2" t="s">
        <v>133</v>
      </c>
      <c r="B68" s="1" t="s">
        <v>146</v>
      </c>
      <c r="C68" s="2" t="s">
        <v>3</v>
      </c>
      <c r="D68" s="6" t="s">
        <v>99</v>
      </c>
      <c r="E68" s="2">
        <v>1.3274999999999999</v>
      </c>
    </row>
    <row r="69" spans="1:5" x14ac:dyDescent="0.25">
      <c r="A69" s="2" t="s">
        <v>135</v>
      </c>
      <c r="B69" s="1" t="s">
        <v>146</v>
      </c>
      <c r="C69" s="2" t="s">
        <v>4</v>
      </c>
      <c r="D69" s="6" t="s">
        <v>100</v>
      </c>
      <c r="E69" s="2">
        <v>1.6325000000000001</v>
      </c>
    </row>
    <row r="70" spans="1:5" x14ac:dyDescent="0.25">
      <c r="A70" s="2" t="s">
        <v>137</v>
      </c>
      <c r="B70" s="1" t="s">
        <v>146</v>
      </c>
      <c r="C70" s="2" t="s">
        <v>5</v>
      </c>
      <c r="D70" s="6" t="s">
        <v>101</v>
      </c>
      <c r="E70" s="2">
        <v>1.92</v>
      </c>
    </row>
    <row r="71" spans="1:5" x14ac:dyDescent="0.25">
      <c r="A71" s="2" t="s">
        <v>139</v>
      </c>
      <c r="B71" s="1" t="s">
        <v>146</v>
      </c>
      <c r="C71" s="2" t="s">
        <v>6</v>
      </c>
      <c r="D71" s="6" t="s">
        <v>102</v>
      </c>
      <c r="E71" s="2">
        <v>2.1025</v>
      </c>
    </row>
    <row r="72" spans="1:5" x14ac:dyDescent="0.25">
      <c r="A72" s="2" t="s">
        <v>141</v>
      </c>
      <c r="B72" s="1" t="s">
        <v>146</v>
      </c>
      <c r="C72" s="2" t="s">
        <v>7</v>
      </c>
      <c r="D72" s="6" t="s">
        <v>103</v>
      </c>
      <c r="E72" s="2">
        <v>2.3050000000000002</v>
      </c>
    </row>
    <row r="73" spans="1:5" x14ac:dyDescent="0.25">
      <c r="A73" s="2" t="s">
        <v>143</v>
      </c>
      <c r="B73" s="1" t="s">
        <v>146</v>
      </c>
      <c r="C73" s="2" t="s">
        <v>8</v>
      </c>
      <c r="D73" s="6" t="s">
        <v>104</v>
      </c>
      <c r="E73" s="2">
        <v>2.3725000000000001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vol_data</vt:lpstr>
      <vt:lpstr>Sheet2</vt:lpstr>
      <vt:lpstr>Sheet3</vt:lpstr>
      <vt:lpstr>ticker</vt:lpstr>
      <vt:lpstr>formula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BBG_SP</dc:creator>
  <cp:lastModifiedBy>Li Liu (FI)</cp:lastModifiedBy>
  <dcterms:created xsi:type="dcterms:W3CDTF">2025-09-11T02:35:08Z</dcterms:created>
  <dcterms:modified xsi:type="dcterms:W3CDTF">2025-09-16T06:40:35Z</dcterms:modified>
</cp:coreProperties>
</file>