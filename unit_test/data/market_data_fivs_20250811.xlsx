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git_model\hk-sfc-models\products\commodity\market_data\"/>
    </mc:Choice>
  </mc:AlternateContent>
  <xr:revisionPtr revIDLastSave="0" documentId="13_ncr:1_{9BAC66A5-F303-4443-AE33-555849CEBEA0}" xr6:coauthVersionLast="47" xr6:coauthVersionMax="47" xr10:uidLastSave="{00000000-0000-0000-0000-000000000000}"/>
  <bookViews>
    <workbookView xWindow="-25020" yWindow="-21720" windowWidth="38640" windowHeight="21240" xr2:uid="{00000000-000D-0000-FFFF-FFFF00000000}"/>
  </bookViews>
  <sheets>
    <sheet name="precious me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D11" i="1"/>
  <c r="D12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<sst xmlns="http://schemas.openxmlformats.org/spreadsheetml/2006/main" count="76" uniqueCount="39">
  <si>
    <t>SETTLE_DT</t>
    <phoneticPr fontId="1" type="noConversion"/>
  </si>
  <si>
    <t>TENOR</t>
    <phoneticPr fontId="1" type="noConversion"/>
  </si>
  <si>
    <t>PX_LAST</t>
    <phoneticPr fontId="1" type="noConversion"/>
  </si>
  <si>
    <t>TICKER</t>
    <phoneticPr fontId="1" type="noConversion"/>
  </si>
  <si>
    <t>1M</t>
  </si>
  <si>
    <t>SPOT</t>
    <phoneticPr fontId="1" type="noConversion"/>
  </si>
  <si>
    <t>2Y</t>
    <phoneticPr fontId="1" type="noConversion"/>
  </si>
  <si>
    <t>DATE</t>
    <phoneticPr fontId="1" type="noConversion"/>
  </si>
  <si>
    <t>DESC</t>
    <phoneticPr fontId="1" type="noConversion"/>
  </si>
  <si>
    <t>TYPE</t>
    <phoneticPr fontId="1" type="noConversion"/>
  </si>
  <si>
    <t>XAUUSD</t>
    <phoneticPr fontId="1" type="noConversion"/>
  </si>
  <si>
    <t>TICKER_TYPE</t>
    <phoneticPr fontId="1" type="noConversion"/>
  </si>
  <si>
    <t>CASH</t>
    <phoneticPr fontId="1" type="noConversion"/>
  </si>
  <si>
    <t>SWAP RATE</t>
    <phoneticPr fontId="1" type="noConversion"/>
  </si>
  <si>
    <t>Beijing 3PM</t>
    <phoneticPr fontId="1" type="noConversion"/>
  </si>
  <si>
    <t>SURFIX</t>
    <phoneticPr fontId="1" type="noConversion"/>
  </si>
  <si>
    <t xml:space="preserve"> 3PM</t>
    <phoneticPr fontId="1" type="noConversion"/>
  </si>
  <si>
    <t>FIVS TICKER</t>
    <phoneticPr fontId="1" type="noConversion"/>
  </si>
  <si>
    <t>Beijing 3PM</t>
  </si>
  <si>
    <t xml:space="preserve"> 3PM</t>
  </si>
  <si>
    <t>2M</t>
    <phoneticPr fontId="1" type="noConversion"/>
  </si>
  <si>
    <t>3M</t>
    <phoneticPr fontId="1" type="noConversion"/>
  </si>
  <si>
    <t>4M</t>
    <phoneticPr fontId="1" type="noConversion"/>
  </si>
  <si>
    <t>5M</t>
    <phoneticPr fontId="1" type="noConversion"/>
  </si>
  <si>
    <t>6M</t>
    <phoneticPr fontId="1" type="noConversion"/>
  </si>
  <si>
    <t>9M</t>
    <phoneticPr fontId="1" type="noConversion"/>
  </si>
  <si>
    <t>12M</t>
    <phoneticPr fontId="1" type="noConversion"/>
  </si>
  <si>
    <t>18M</t>
    <phoneticPr fontId="1" type="noConversion"/>
  </si>
  <si>
    <t>XAU Curncy</t>
    <phoneticPr fontId="1" type="noConversion"/>
  </si>
  <si>
    <t>XAUSR1M Curncy</t>
    <phoneticPr fontId="1" type="noConversion"/>
  </si>
  <si>
    <t>XAUSR2M Curncy</t>
    <phoneticPr fontId="1" type="noConversion"/>
  </si>
  <si>
    <t>XAUSR3M Curncy</t>
    <phoneticPr fontId="1" type="noConversion"/>
  </si>
  <si>
    <t>XAUSR4M Curncy</t>
    <phoneticPr fontId="1" type="noConversion"/>
  </si>
  <si>
    <t>XAUSR5M Curncy</t>
    <phoneticPr fontId="1" type="noConversion"/>
  </si>
  <si>
    <t>XAUSR6M Curncy</t>
    <phoneticPr fontId="1" type="noConversion"/>
  </si>
  <si>
    <t>XAUSR9M Curncy</t>
    <phoneticPr fontId="1" type="noConversion"/>
  </si>
  <si>
    <t>XAUSR12M Curncy</t>
    <phoneticPr fontId="1" type="noConversion"/>
  </si>
  <si>
    <t>XAUSR18M Curncy</t>
    <phoneticPr fontId="1" type="noConversion"/>
  </si>
  <si>
    <t>XAUSR2Y Curncy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</si>
</sst>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4" fontId="0" fillId="0" borderId="0" xfId="0" applyNumberFormat="1" applyFill="1"/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L23" sqref="L23"/>
    </sheetView>
  </sheetViews>
  <sheetFormatPr defaultRowHeight="14" x14ac:dyDescent="0.3"/>
  <cols>
    <col min="1" max="1" width="12.25" style="1" customWidth="1"/>
    <col min="2" max="2" width="21.25" style="1" bestFit="1" customWidth="1"/>
    <col min="3" max="3" width="7.33203125" style="1" bestFit="1" customWidth="1"/>
    <col min="4" max="4" width="25.75" style="1" bestFit="1" customWidth="1"/>
    <col min="5" max="5" width="12.25" style="1" bestFit="1" customWidth="1"/>
    <col min="6" max="6" width="7.33203125" style="1" bestFit="1" customWidth="1"/>
    <col min="7" max="7" width="11.08203125" style="1" bestFit="1" customWidth="1"/>
    <col min="8" max="8" width="12.75" style="1" bestFit="1" customWidth="1"/>
    <col min="9" max="9" width="8.9140625" style="1" bestFit="1" customWidth="1"/>
    <col min="10" max="10" width="11" style="1" bestFit="1" customWidth="1"/>
    <col min="11" max="16384" width="8.6640625" style="1"/>
  </cols>
  <sheetData>
    <row r="1" spans="1:14" x14ac:dyDescent="0.3">
      <c r="A1" s="1" t="s">
        <v>7</v>
      </c>
      <c r="B1" s="1" t="s">
        <v>3</v>
      </c>
      <c r="C1" s="1" t="s">
        <v>15</v>
      </c>
      <c r="D1" s="1" t="s">
        <v>17</v>
      </c>
      <c r="E1" s="1" t="s">
        <v>11</v>
      </c>
      <c r="F1" s="1" t="s">
        <v>1</v>
      </c>
      <c r="G1" s="1" t="s">
        <v>0</v>
      </c>
      <c r="H1" s="1" t="s">
        <v>2</v>
      </c>
      <c r="I1" s="1" t="s">
        <v>9</v>
      </c>
      <c r="J1" s="1" t="s">
        <v>8</v>
      </c>
    </row>
    <row r="2" spans="1:14" x14ac:dyDescent="0.3">
      <c r="A2" s="2">
        <v>45880</v>
      </c>
      <c r="B2" s="1" t="s">
        <v>28</v>
      </c>
      <c r="C2" s="3" t="s">
        <v>16</v>
      </c>
      <c r="D2" s="3" t="str">
        <f>B2&amp;C2</f>
        <v>XAU Curncy 3PM</v>
      </c>
      <c r="E2" s="3" t="s">
        <v>12</v>
      </c>
      <c r="F2" s="1" t="s">
        <v>5</v>
      </c>
      <c r="G2" s="2">
        <v>45882</v>
      </c>
      <c r="H2" s="1">
        <v>3342.37</v>
      </c>
      <c r="I2" s="1" t="s">
        <v>10</v>
      </c>
      <c r="J2" s="1" t="s">
        <v>14</v>
      </c>
      <c r="K2" s="2"/>
      <c r="L2" s="2"/>
      <c r="N2" s="2"/>
    </row>
    <row r="3" spans="1:14" x14ac:dyDescent="0.3">
      <c r="A3" s="2">
        <v>45880</v>
      </c>
      <c r="B3" s="1" t="s">
        <v>29</v>
      </c>
      <c r="C3" s="3" t="s">
        <v>16</v>
      </c>
      <c r="D3" s="3" t="str">
        <f t="shared" ref="D3:D12" si="0">B3&amp;C3</f>
        <v>XAUSR1M Curncy 3PM</v>
      </c>
      <c r="E3" s="4" t="s">
        <v>13</v>
      </c>
      <c r="F3" s="1" t="s">
        <v>4</v>
      </c>
      <c r="G3" s="2">
        <v>45915</v>
      </c>
      <c r="H3" s="1">
        <v>4.5330000000000004</v>
      </c>
      <c r="I3" s="1" t="s">
        <v>10</v>
      </c>
      <c r="J3" s="1" t="s">
        <v>14</v>
      </c>
      <c r="K3" s="2"/>
      <c r="L3" s="2"/>
      <c r="N3" s="2"/>
    </row>
    <row r="4" spans="1:14" x14ac:dyDescent="0.3">
      <c r="A4" s="2">
        <v>45880</v>
      </c>
      <c r="B4" s="1" t="s">
        <v>30</v>
      </c>
      <c r="C4" s="3" t="s">
        <v>16</v>
      </c>
      <c r="D4" s="3" t="str">
        <f t="shared" si="0"/>
        <v>XAUSR2M Curncy 3PM</v>
      </c>
      <c r="E4" s="4" t="s">
        <v>13</v>
      </c>
      <c r="F4" s="1" t="s">
        <v>20</v>
      </c>
      <c r="G4" s="2">
        <v>45944</v>
      </c>
      <c r="H4" s="1">
        <v>4.4820000000000002</v>
      </c>
      <c r="I4" s="1" t="s">
        <v>10</v>
      </c>
      <c r="J4" s="1" t="s">
        <v>14</v>
      </c>
      <c r="L4" s="2"/>
      <c r="N4" s="2"/>
    </row>
    <row r="5" spans="1:14" x14ac:dyDescent="0.3">
      <c r="A5" s="2">
        <v>45880</v>
      </c>
      <c r="B5" s="1" t="s">
        <v>31</v>
      </c>
      <c r="C5" s="3" t="s">
        <v>16</v>
      </c>
      <c r="D5" s="3" t="str">
        <f t="shared" si="0"/>
        <v>XAUSR3M Curncy 3PM</v>
      </c>
      <c r="E5" s="4" t="s">
        <v>13</v>
      </c>
      <c r="F5" s="1" t="s">
        <v>21</v>
      </c>
      <c r="G5" s="2">
        <v>45974</v>
      </c>
      <c r="H5" s="1">
        <v>4.41</v>
      </c>
      <c r="I5" s="1" t="s">
        <v>10</v>
      </c>
      <c r="J5" s="1" t="s">
        <v>14</v>
      </c>
      <c r="L5" s="2"/>
      <c r="N5" s="2"/>
    </row>
    <row r="6" spans="1:14" x14ac:dyDescent="0.3">
      <c r="A6" s="2">
        <v>45880</v>
      </c>
      <c r="B6" s="1" t="s">
        <v>32</v>
      </c>
      <c r="C6" s="3" t="s">
        <v>16</v>
      </c>
      <c r="D6" s="3" t="str">
        <f t="shared" si="0"/>
        <v>XAUSR4M Curncy 3PM</v>
      </c>
      <c r="E6" s="4" t="s">
        <v>13</v>
      </c>
      <c r="F6" s="1" t="s">
        <v>22</v>
      </c>
      <c r="G6" s="2">
        <v>46006</v>
      </c>
      <c r="H6" s="1">
        <v>4.3520000000000003</v>
      </c>
      <c r="I6" s="1" t="s">
        <v>10</v>
      </c>
      <c r="J6" s="1" t="s">
        <v>14</v>
      </c>
      <c r="L6" s="2"/>
      <c r="N6" s="2"/>
    </row>
    <row r="7" spans="1:14" x14ac:dyDescent="0.3">
      <c r="A7" s="2">
        <v>45880</v>
      </c>
      <c r="B7" s="1" t="s">
        <v>33</v>
      </c>
      <c r="C7" s="3" t="s">
        <v>16</v>
      </c>
      <c r="D7" s="3" t="str">
        <f t="shared" si="0"/>
        <v>XAUSR5M Curncy 3PM</v>
      </c>
      <c r="E7" s="4" t="s">
        <v>13</v>
      </c>
      <c r="F7" s="1" t="s">
        <v>23</v>
      </c>
      <c r="G7" s="2">
        <v>46035</v>
      </c>
      <c r="H7" s="1">
        <v>4.3499999999999996</v>
      </c>
      <c r="I7" s="1" t="s">
        <v>10</v>
      </c>
      <c r="J7" s="1" t="s">
        <v>14</v>
      </c>
      <c r="L7" s="2"/>
      <c r="N7" s="2"/>
    </row>
    <row r="8" spans="1:14" x14ac:dyDescent="0.3">
      <c r="A8" s="2">
        <v>45880</v>
      </c>
      <c r="B8" s="1" t="s">
        <v>34</v>
      </c>
      <c r="C8" s="3" t="s">
        <v>16</v>
      </c>
      <c r="D8" s="3" t="str">
        <f t="shared" si="0"/>
        <v>XAUSR6M Curncy 3PM</v>
      </c>
      <c r="E8" s="4" t="s">
        <v>13</v>
      </c>
      <c r="F8" s="1" t="s">
        <v>24</v>
      </c>
      <c r="G8" s="2">
        <v>46066</v>
      </c>
      <c r="H8" s="1">
        <v>4.2610000000000001</v>
      </c>
      <c r="I8" s="1" t="s">
        <v>10</v>
      </c>
      <c r="J8" s="1" t="s">
        <v>14</v>
      </c>
      <c r="L8" s="2"/>
      <c r="N8" s="2"/>
    </row>
    <row r="9" spans="1:14" x14ac:dyDescent="0.3">
      <c r="A9" s="2">
        <v>45880</v>
      </c>
      <c r="B9" s="1" t="s">
        <v>35</v>
      </c>
      <c r="C9" s="3" t="s">
        <v>19</v>
      </c>
      <c r="D9" s="3" t="str">
        <f>B9&amp;C9</f>
        <v>XAUSR9M Curncy 3PM</v>
      </c>
      <c r="E9" s="4" t="s">
        <v>13</v>
      </c>
      <c r="F9" s="1" t="s">
        <v>25</v>
      </c>
      <c r="G9" s="2">
        <v>46155</v>
      </c>
      <c r="H9" s="1">
        <v>4.0979999999999999</v>
      </c>
      <c r="I9" s="1" t="s">
        <v>10</v>
      </c>
      <c r="J9" s="1" t="s">
        <v>18</v>
      </c>
      <c r="L9" s="2"/>
      <c r="N9" s="2"/>
    </row>
    <row r="10" spans="1:14" x14ac:dyDescent="0.3">
      <c r="A10" s="2">
        <v>45880</v>
      </c>
      <c r="B10" s="1" t="s">
        <v>36</v>
      </c>
      <c r="C10" s="3" t="s">
        <v>19</v>
      </c>
      <c r="D10" s="3" t="str">
        <f t="shared" si="0"/>
        <v>XAUSR12M Curncy 3PM</v>
      </c>
      <c r="E10" s="4" t="s">
        <v>13</v>
      </c>
      <c r="F10" s="1" t="s">
        <v>26</v>
      </c>
      <c r="G10" s="2">
        <v>46247</v>
      </c>
      <c r="H10" s="1">
        <v>3.9550000000000001</v>
      </c>
      <c r="I10" s="1" t="s">
        <v>10</v>
      </c>
      <c r="J10" s="1" t="s">
        <v>18</v>
      </c>
      <c r="L10" s="2"/>
      <c r="N10" s="2"/>
    </row>
    <row r="11" spans="1:14" x14ac:dyDescent="0.3">
      <c r="A11" s="2">
        <v>45880</v>
      </c>
      <c r="B11" s="1" t="s">
        <v>37</v>
      </c>
      <c r="C11" s="3" t="s">
        <v>19</v>
      </c>
      <c r="D11" s="3" t="str">
        <f t="shared" si="0"/>
        <v>XAUSR18M Curncy 3PM</v>
      </c>
      <c r="E11" s="4" t="s">
        <v>13</v>
      </c>
      <c r="F11" s="1" t="s">
        <v>27</v>
      </c>
      <c r="G11" s="2">
        <v>46434</v>
      </c>
      <c r="H11" s="1">
        <v>3.6722999999999999</v>
      </c>
      <c r="I11" s="1" t="s">
        <v>10</v>
      </c>
      <c r="J11" s="1" t="s">
        <v>18</v>
      </c>
      <c r="L11" s="2"/>
      <c r="N11" s="2"/>
    </row>
    <row r="12" spans="1:14" x14ac:dyDescent="0.3">
      <c r="A12" s="2">
        <v>45880</v>
      </c>
      <c r="B12" s="1" t="s">
        <v>38</v>
      </c>
      <c r="C12" s="3" t="s">
        <v>19</v>
      </c>
      <c r="D12" s="3" t="str">
        <f t="shared" si="0"/>
        <v>XAUSR2Y Curncy 3PM</v>
      </c>
      <c r="E12" s="4" t="s">
        <v>13</v>
      </c>
      <c r="F12" s="1" t="s">
        <v>6</v>
      </c>
      <c r="G12" s="2">
        <v>46612</v>
      </c>
      <c r="H12" s="1">
        <v>3.5044</v>
      </c>
      <c r="I12" s="1" t="s">
        <v>10</v>
      </c>
      <c r="J12" s="1" t="s">
        <v>18</v>
      </c>
      <c r="L12" s="2"/>
      <c r="N12" s="2"/>
    </row>
    <row r="13" spans="1:14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precious metal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Yushan Xie (FI)</dc:creator>
  <cp:lastModifiedBy>Li Liu (FI)</cp:lastModifiedBy>
  <dcterms:created xsi:type="dcterms:W3CDTF">2015-06-05T18:17:20Z</dcterms:created>
  <dcterms:modified xsi:type="dcterms:W3CDTF">2025-09-11T07:32:01Z</dcterms:modified>
</cp:coreProperties>
</file>